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04" codeName="{E757BCB4-07E6-AE0B-56E0-F0EEF7A6E26C}"/>
  <workbookPr filterPrivacy="1" codeName="ThisWorkbook"/>
  <xr:revisionPtr revIDLastSave="495" documentId="13_ncr:1_{872324D8-CE8E-4143-8654-CF18B60CAD1F}" xr6:coauthVersionLast="47" xr6:coauthVersionMax="47" xr10:uidLastSave="{1565E6DA-925C-490C-90A7-335F5166BC44}"/>
  <bookViews>
    <workbookView xWindow="28680" yWindow="1275" windowWidth="29040" windowHeight="15840" tabRatio="866" activeTab="11" xr2:uid="{00000000-000D-0000-FFFF-FFFF00000000}"/>
  </bookViews>
  <sheets>
    <sheet name="HEVC_PB_P" sheetId="73" r:id="rId1"/>
    <sheet name="HEVC_PB_B" sheetId="74" r:id="rId2"/>
    <sheet name="HEVC_PB_adp" sheetId="75" r:id="rId3"/>
    <sheet name="HEVC_PB_opt" sheetId="100" r:id="rId4"/>
    <sheet name="UVG_PB_P" sheetId="79" r:id="rId5"/>
    <sheet name="UVG_PB_B" sheetId="80" r:id="rId6"/>
    <sheet name="UVG_PB_adp" sheetId="81" r:id="rId7"/>
    <sheet name="UVG_PB_opt" sheetId="101" r:id="rId8"/>
    <sheet name="MCL_PB_P" sheetId="85" r:id="rId9"/>
    <sheet name="MCL_PB_B" sheetId="86" r:id="rId10"/>
    <sheet name="MCL_PB_apt" sheetId="87" r:id="rId11"/>
    <sheet name="MCL_PB_opt" sheetId="102" r:id="rId12"/>
  </sheets>
  <functionGroups builtInGroupCount="19"/>
  <calcPr calcId="191029"/>
</workbook>
</file>

<file path=xl/calcChain.xml><?xml version="1.0" encoding="utf-8"?>
<calcChain xmlns="http://schemas.openxmlformats.org/spreadsheetml/2006/main">
  <c r="H128" i="102" l="1"/>
  <c r="G128" i="102"/>
  <c r="E128" i="102"/>
  <c r="D128" i="102"/>
  <c r="H127" i="102"/>
  <c r="G127" i="102"/>
  <c r="E127" i="102"/>
  <c r="D127" i="102"/>
  <c r="H126" i="102"/>
  <c r="G126" i="102"/>
  <c r="E126" i="102"/>
  <c r="D126" i="102"/>
  <c r="H125" i="102"/>
  <c r="G125" i="102"/>
  <c r="E125" i="102"/>
  <c r="D125" i="102"/>
  <c r="H36" i="101"/>
  <c r="G36" i="101"/>
  <c r="E36" i="101"/>
  <c r="D36" i="101"/>
  <c r="H35" i="101"/>
  <c r="G35" i="101"/>
  <c r="E35" i="101"/>
  <c r="D35" i="101"/>
  <c r="H34" i="101"/>
  <c r="G34" i="101"/>
  <c r="E34" i="101"/>
  <c r="D34" i="101"/>
  <c r="H33" i="101"/>
  <c r="G33" i="101"/>
  <c r="E33" i="101"/>
  <c r="D33" i="101"/>
  <c r="H88" i="100"/>
  <c r="G88" i="100"/>
  <c r="E88" i="100"/>
  <c r="D88" i="100"/>
  <c r="H87" i="100"/>
  <c r="G87" i="100"/>
  <c r="E87" i="100"/>
  <c r="D87" i="100"/>
  <c r="H86" i="100"/>
  <c r="G86" i="100"/>
  <c r="E86" i="100"/>
  <c r="D86" i="100"/>
  <c r="H85" i="100"/>
  <c r="G85" i="100"/>
  <c r="E85" i="100"/>
  <c r="D85" i="100"/>
  <c r="H84" i="100"/>
  <c r="G84" i="100"/>
  <c r="E84" i="100"/>
  <c r="D84" i="100"/>
  <c r="H83" i="100"/>
  <c r="G83" i="100"/>
  <c r="E83" i="100"/>
  <c r="D83" i="100"/>
  <c r="H82" i="100"/>
  <c r="G82" i="100"/>
  <c r="E82" i="100"/>
  <c r="D82" i="100"/>
  <c r="H81" i="100"/>
  <c r="G81" i="100"/>
  <c r="E81" i="100"/>
  <c r="D81" i="100"/>
  <c r="H80" i="100"/>
  <c r="G80" i="100"/>
  <c r="E80" i="100"/>
  <c r="D80" i="100"/>
  <c r="H79" i="100"/>
  <c r="G79" i="100"/>
  <c r="E79" i="100"/>
  <c r="D79" i="100"/>
  <c r="H78" i="100"/>
  <c r="G78" i="100"/>
  <c r="E78" i="100"/>
  <c r="D78" i="100"/>
  <c r="H77" i="100"/>
  <c r="G77" i="100"/>
  <c r="E77" i="100"/>
  <c r="D77" i="100"/>
  <c r="H76" i="100"/>
  <c r="G76" i="100"/>
  <c r="E76" i="100"/>
  <c r="D76" i="100"/>
  <c r="H75" i="100"/>
  <c r="G75" i="100"/>
  <c r="E75" i="100"/>
  <c r="D75" i="100"/>
  <c r="H74" i="100"/>
  <c r="G74" i="100"/>
  <c r="E74" i="100"/>
  <c r="D74" i="100"/>
  <c r="H73" i="100"/>
  <c r="G73" i="100"/>
  <c r="E73" i="100"/>
  <c r="D73" i="100"/>
  <c r="H88" i="75"/>
  <c r="G88" i="75"/>
  <c r="E88" i="75"/>
  <c r="D88" i="75"/>
  <c r="H87" i="75"/>
  <c r="G87" i="75"/>
  <c r="E87" i="75"/>
  <c r="D87" i="75"/>
  <c r="H86" i="75"/>
  <c r="G86" i="75"/>
  <c r="E86" i="75"/>
  <c r="D86" i="75"/>
  <c r="H85" i="75"/>
  <c r="G85" i="75"/>
  <c r="E85" i="75"/>
  <c r="D85" i="75"/>
  <c r="H84" i="75"/>
  <c r="G84" i="75"/>
  <c r="E84" i="75"/>
  <c r="D84" i="75"/>
  <c r="H83" i="75"/>
  <c r="G83" i="75"/>
  <c r="E83" i="75"/>
  <c r="D83" i="75"/>
  <c r="H82" i="75"/>
  <c r="G82" i="75"/>
  <c r="E82" i="75"/>
  <c r="D82" i="75"/>
  <c r="H81" i="75"/>
  <c r="G81" i="75"/>
  <c r="E81" i="75"/>
  <c r="D81" i="75"/>
  <c r="H80" i="75"/>
  <c r="G80" i="75"/>
  <c r="E80" i="75"/>
  <c r="D80" i="75"/>
  <c r="H79" i="75"/>
  <c r="G79" i="75"/>
  <c r="E79" i="75"/>
  <c r="D79" i="75"/>
  <c r="H78" i="75"/>
  <c r="G78" i="75"/>
  <c r="E78" i="75"/>
  <c r="D78" i="75"/>
  <c r="H77" i="75"/>
  <c r="G77" i="75"/>
  <c r="E77" i="75"/>
  <c r="D77" i="75"/>
  <c r="H76" i="75"/>
  <c r="G76" i="75"/>
  <c r="E76" i="75"/>
  <c r="D76" i="75"/>
  <c r="H75" i="75"/>
  <c r="G75" i="75"/>
  <c r="E75" i="75"/>
  <c r="D75" i="75"/>
  <c r="H74" i="75"/>
  <c r="G74" i="75"/>
  <c r="E74" i="75"/>
  <c r="D74" i="75"/>
  <c r="H73" i="75"/>
  <c r="G73" i="75"/>
  <c r="E73" i="75"/>
  <c r="D73" i="75"/>
  <c r="H88" i="74"/>
  <c r="G88" i="74"/>
  <c r="E88" i="74"/>
  <c r="D88" i="74"/>
  <c r="H87" i="74"/>
  <c r="G87" i="74"/>
  <c r="E87" i="74"/>
  <c r="D87" i="74"/>
  <c r="H86" i="74"/>
  <c r="G86" i="74"/>
  <c r="E86" i="74"/>
  <c r="D86" i="74"/>
  <c r="H85" i="74"/>
  <c r="G85" i="74"/>
  <c r="E85" i="74"/>
  <c r="D85" i="74"/>
  <c r="H84" i="74"/>
  <c r="G84" i="74"/>
  <c r="E84" i="74"/>
  <c r="D84" i="74"/>
  <c r="H83" i="74"/>
  <c r="G83" i="74"/>
  <c r="E83" i="74"/>
  <c r="D83" i="74"/>
  <c r="H82" i="74"/>
  <c r="G82" i="74"/>
  <c r="E82" i="74"/>
  <c r="D82" i="74"/>
  <c r="H81" i="74"/>
  <c r="G81" i="74"/>
  <c r="E81" i="74"/>
  <c r="D81" i="74"/>
  <c r="H80" i="74"/>
  <c r="G80" i="74"/>
  <c r="E80" i="74"/>
  <c r="D80" i="74"/>
  <c r="H79" i="74"/>
  <c r="G79" i="74"/>
  <c r="E79" i="74"/>
  <c r="D79" i="74"/>
  <c r="H78" i="74"/>
  <c r="G78" i="74"/>
  <c r="E78" i="74"/>
  <c r="D78" i="74"/>
  <c r="H77" i="74"/>
  <c r="G77" i="74"/>
  <c r="E77" i="74"/>
  <c r="D77" i="74"/>
  <c r="H76" i="74"/>
  <c r="G76" i="74"/>
  <c r="E76" i="74"/>
  <c r="D76" i="74"/>
  <c r="H75" i="74"/>
  <c r="G75" i="74"/>
  <c r="E75" i="74"/>
  <c r="D75" i="74"/>
  <c r="H74" i="74"/>
  <c r="G74" i="74"/>
  <c r="E74" i="74"/>
  <c r="D74" i="74"/>
  <c r="H73" i="74"/>
  <c r="G73" i="74"/>
  <c r="E73" i="74"/>
  <c r="D73" i="74"/>
  <c r="H88" i="73"/>
  <c r="G88" i="73"/>
  <c r="E88" i="73"/>
  <c r="D88" i="73"/>
  <c r="H87" i="73"/>
  <c r="G87" i="73"/>
  <c r="E87" i="73"/>
  <c r="D87" i="73"/>
  <c r="H86" i="73"/>
  <c r="G86" i="73"/>
  <c r="E86" i="73"/>
  <c r="D86" i="73"/>
  <c r="H85" i="73"/>
  <c r="G85" i="73"/>
  <c r="E85" i="73"/>
  <c r="D85" i="73"/>
  <c r="H84" i="73"/>
  <c r="G84" i="73"/>
  <c r="E84" i="73"/>
  <c r="D84" i="73"/>
  <c r="H83" i="73"/>
  <c r="G83" i="73"/>
  <c r="E83" i="73"/>
  <c r="D83" i="73"/>
  <c r="H82" i="73"/>
  <c r="G82" i="73"/>
  <c r="E82" i="73"/>
  <c r="D82" i="73"/>
  <c r="H81" i="73"/>
  <c r="G81" i="73"/>
  <c r="E81" i="73"/>
  <c r="D81" i="73"/>
  <c r="H80" i="73"/>
  <c r="G80" i="73"/>
  <c r="E80" i="73"/>
  <c r="D80" i="73"/>
  <c r="H79" i="73"/>
  <c r="G79" i="73"/>
  <c r="E79" i="73"/>
  <c r="D79" i="73"/>
  <c r="H78" i="73"/>
  <c r="G78" i="73"/>
  <c r="E78" i="73"/>
  <c r="D78" i="73"/>
  <c r="H77" i="73"/>
  <c r="G77" i="73"/>
  <c r="E77" i="73"/>
  <c r="D77" i="73"/>
  <c r="H76" i="73"/>
  <c r="G76" i="73"/>
  <c r="E76" i="73"/>
  <c r="D76" i="73"/>
  <c r="H75" i="73"/>
  <c r="G75" i="73"/>
  <c r="E75" i="73"/>
  <c r="D75" i="73"/>
  <c r="H74" i="73"/>
  <c r="G74" i="73"/>
  <c r="E74" i="73"/>
  <c r="D74" i="73"/>
  <c r="H73" i="73"/>
  <c r="G73" i="73"/>
  <c r="E73" i="73"/>
  <c r="D73" i="73"/>
  <c r="H36" i="79"/>
  <c r="G36" i="79"/>
  <c r="E36" i="79"/>
  <c r="D36" i="79"/>
  <c r="H35" i="79"/>
  <c r="G35" i="79"/>
  <c r="E35" i="79"/>
  <c r="D35" i="79"/>
  <c r="H34" i="79"/>
  <c r="G34" i="79"/>
  <c r="E34" i="79"/>
  <c r="D34" i="79"/>
  <c r="H33" i="79"/>
  <c r="G33" i="79"/>
  <c r="E33" i="79"/>
  <c r="D33" i="79"/>
  <c r="H36" i="80"/>
  <c r="G36" i="80"/>
  <c r="E36" i="80"/>
  <c r="D36" i="80"/>
  <c r="H35" i="80"/>
  <c r="G35" i="80"/>
  <c r="E35" i="80"/>
  <c r="D35" i="80"/>
  <c r="H34" i="80"/>
  <c r="G34" i="80"/>
  <c r="E34" i="80"/>
  <c r="D34" i="80"/>
  <c r="H33" i="80"/>
  <c r="G33" i="80"/>
  <c r="E33" i="80"/>
  <c r="D33" i="80"/>
  <c r="H36" i="81"/>
  <c r="G36" i="81"/>
  <c r="E36" i="81"/>
  <c r="D36" i="81"/>
  <c r="H35" i="81"/>
  <c r="G35" i="81"/>
  <c r="E35" i="81"/>
  <c r="D35" i="81"/>
  <c r="H34" i="81"/>
  <c r="G34" i="81"/>
  <c r="E34" i="81"/>
  <c r="D34" i="81"/>
  <c r="H33" i="81"/>
  <c r="G33" i="81"/>
  <c r="E33" i="81"/>
  <c r="D33" i="81"/>
  <c r="H128" i="85"/>
  <c r="G128" i="85"/>
  <c r="E128" i="85"/>
  <c r="D128" i="85"/>
  <c r="H127" i="85"/>
  <c r="G127" i="85"/>
  <c r="E127" i="85"/>
  <c r="D127" i="85"/>
  <c r="H126" i="85"/>
  <c r="G126" i="85"/>
  <c r="E126" i="85"/>
  <c r="D126" i="85"/>
  <c r="H125" i="85"/>
  <c r="G125" i="85"/>
  <c r="E125" i="85"/>
  <c r="D125" i="85"/>
  <c r="H128" i="86"/>
  <c r="G128" i="86"/>
  <c r="E128" i="86"/>
  <c r="D128" i="86"/>
  <c r="H127" i="86"/>
  <c r="G127" i="86"/>
  <c r="E127" i="86"/>
  <c r="D127" i="86"/>
  <c r="H126" i="86"/>
  <c r="G126" i="86"/>
  <c r="E126" i="86"/>
  <c r="D126" i="86"/>
  <c r="H125" i="86"/>
  <c r="G125" i="86"/>
  <c r="E125" i="86"/>
  <c r="D125" i="86"/>
  <c r="H128" i="87"/>
  <c r="G128" i="87"/>
  <c r="E128" i="87"/>
  <c r="D128" i="87"/>
  <c r="H127" i="87"/>
  <c r="G127" i="87"/>
  <c r="E127" i="87"/>
  <c r="D127" i="87"/>
  <c r="H126" i="87"/>
  <c r="G126" i="87"/>
  <c r="E126" i="87"/>
  <c r="D126" i="87"/>
  <c r="H125" i="87"/>
  <c r="G125" i="87"/>
  <c r="E125" i="87"/>
  <c r="D125" i="87"/>
  <c r="I15" i="102"/>
  <c r="I125" i="102"/>
  <c r="I71" i="102"/>
  <c r="I63" i="102"/>
  <c r="I7" i="101"/>
  <c r="I3" i="100"/>
  <c r="I31" i="86"/>
  <c r="I3" i="79"/>
  <c r="I31" i="100"/>
  <c r="I59" i="75"/>
  <c r="I43" i="86"/>
  <c r="I15" i="80"/>
  <c r="I75" i="85"/>
  <c r="I19" i="86"/>
  <c r="I23" i="100"/>
  <c r="I107" i="87"/>
  <c r="I115" i="85"/>
  <c r="I67" i="87"/>
  <c r="I11" i="86"/>
  <c r="I39" i="100"/>
  <c r="I11" i="80"/>
  <c r="I59" i="73"/>
  <c r="I15" i="85"/>
  <c r="I87" i="87"/>
  <c r="I125" i="86"/>
  <c r="I95" i="86"/>
  <c r="I43" i="75"/>
  <c r="I63" i="73"/>
  <c r="I33" i="80"/>
  <c r="I23" i="101"/>
  <c r="I87" i="85"/>
  <c r="I19" i="75"/>
  <c r="I35" i="85"/>
  <c r="I119" i="102"/>
  <c r="I111" i="102"/>
  <c r="I39" i="102"/>
  <c r="I31" i="102"/>
  <c r="I27" i="101"/>
  <c r="I31" i="75"/>
  <c r="I11" i="81"/>
  <c r="I71" i="86"/>
  <c r="I7" i="86"/>
  <c r="I19" i="79"/>
  <c r="I115" i="87"/>
  <c r="I3" i="80"/>
  <c r="I23" i="75"/>
  <c r="I31" i="74"/>
  <c r="I51" i="86"/>
  <c r="I3" i="87"/>
  <c r="I19" i="87"/>
  <c r="I83" i="86"/>
  <c r="I63" i="75"/>
  <c r="I15" i="74"/>
  <c r="I3" i="74"/>
  <c r="I55" i="102"/>
  <c r="I23" i="102"/>
  <c r="I107" i="102"/>
  <c r="I99" i="102"/>
  <c r="I59" i="102"/>
  <c r="I3" i="101"/>
  <c r="I99" i="87"/>
  <c r="I47" i="75"/>
  <c r="I35" i="74"/>
  <c r="I51" i="85"/>
  <c r="I39" i="74"/>
  <c r="I111" i="86"/>
  <c r="I85" i="74"/>
  <c r="I51" i="100"/>
  <c r="I23" i="81"/>
  <c r="I55" i="73"/>
  <c r="I23" i="85"/>
  <c r="I51" i="74"/>
  <c r="I55" i="100"/>
  <c r="I103" i="87"/>
  <c r="I111" i="87"/>
  <c r="I73" i="73"/>
  <c r="I63" i="85"/>
  <c r="I27" i="81"/>
  <c r="I11" i="73"/>
  <c r="I11" i="100"/>
  <c r="I11" i="75"/>
  <c r="I39" i="86"/>
  <c r="I23" i="79"/>
  <c r="I79" i="87"/>
  <c r="I7" i="85"/>
  <c r="I23" i="74"/>
  <c r="I33" i="81"/>
  <c r="I73" i="75"/>
  <c r="I27" i="86"/>
  <c r="I71" i="85"/>
  <c r="I27" i="79"/>
  <c r="I79" i="102"/>
  <c r="I91" i="86"/>
  <c r="I77" i="74"/>
  <c r="I43" i="100"/>
  <c r="I115" i="102"/>
  <c r="I75" i="102"/>
  <c r="I67" i="102"/>
  <c r="I27" i="102"/>
  <c r="I33" i="101"/>
  <c r="I95" i="87"/>
  <c r="I15" i="81"/>
  <c r="I81" i="74"/>
  <c r="I31" i="85"/>
  <c r="I47" i="74"/>
  <c r="I39" i="85"/>
  <c r="I77" i="75"/>
  <c r="I23" i="73"/>
  <c r="I19" i="100"/>
  <c r="I85" i="75"/>
  <c r="I7" i="73"/>
  <c r="I27" i="85"/>
  <c r="I81" i="73"/>
  <c r="I81" i="100"/>
  <c r="I31" i="87"/>
  <c r="I47" i="73"/>
  <c r="I59" i="85"/>
  <c r="I3" i="86"/>
  <c r="I23" i="87"/>
  <c r="I59" i="86"/>
  <c r="I7" i="100"/>
  <c r="I7" i="79"/>
  <c r="I3" i="81"/>
  <c r="I115" i="86"/>
  <c r="I59" i="74"/>
  <c r="I59" i="87"/>
  <c r="I85" i="73"/>
  <c r="I27" i="75"/>
  <c r="I85" i="100"/>
  <c r="I33" i="79"/>
  <c r="I91" i="87"/>
  <c r="I83" i="87"/>
  <c r="I83" i="102"/>
  <c r="I43" i="102"/>
  <c r="I35" i="102"/>
  <c r="I87" i="102"/>
  <c r="I19" i="101"/>
  <c r="I15" i="87"/>
  <c r="I43" i="73"/>
  <c r="I103" i="85"/>
  <c r="I27" i="87"/>
  <c r="I35" i="75"/>
  <c r="I7" i="74"/>
  <c r="I19" i="85"/>
  <c r="I35" i="86"/>
  <c r="I59" i="100"/>
  <c r="I39" i="75"/>
  <c r="I39" i="73"/>
  <c r="I47" i="85"/>
  <c r="I15" i="73"/>
  <c r="I47" i="100"/>
  <c r="I55" i="75"/>
  <c r="I77" i="73"/>
  <c r="I27" i="80"/>
  <c r="I87" i="86"/>
  <c r="I7" i="87"/>
  <c r="I19" i="74"/>
  <c r="I55" i="74"/>
  <c r="I83" i="85"/>
  <c r="I11" i="85"/>
  <c r="I91" i="102"/>
  <c r="I11" i="74"/>
  <c r="I119" i="87"/>
  <c r="I15" i="86"/>
  <c r="I27" i="73"/>
  <c r="I51" i="102"/>
  <c r="I11" i="102"/>
  <c r="I3" i="102"/>
  <c r="I47" i="102"/>
  <c r="I15" i="101"/>
  <c r="I35" i="73"/>
  <c r="I3" i="85"/>
  <c r="I39" i="87"/>
  <c r="I81" i="75"/>
  <c r="I51" i="73"/>
  <c r="I95" i="85"/>
  <c r="I75" i="86"/>
  <c r="I27" i="100"/>
  <c r="I99" i="86"/>
  <c r="I19" i="80"/>
  <c r="I125" i="87"/>
  <c r="I119" i="86"/>
  <c r="I15" i="100"/>
  <c r="I19" i="81"/>
  <c r="I63" i="86"/>
  <c r="I15" i="79"/>
  <c r="I125" i="85"/>
  <c r="I51" i="75"/>
  <c r="I43" i="74"/>
  <c r="I91" i="85"/>
  <c r="I73" i="74"/>
  <c r="I55" i="86"/>
  <c r="I55" i="87"/>
  <c r="I107" i="85"/>
  <c r="I51" i="87"/>
  <c r="I67" i="85"/>
  <c r="I111" i="85"/>
  <c r="I77" i="100"/>
  <c r="I7" i="102"/>
  <c r="I67" i="86"/>
  <c r="I7" i="80"/>
  <c r="I3" i="75"/>
  <c r="I19" i="102"/>
  <c r="I103" i="102"/>
  <c r="I95" i="102"/>
  <c r="I11" i="101"/>
  <c r="I35" i="100"/>
  <c r="I63" i="87"/>
  <c r="I79" i="86"/>
  <c r="I23" i="80"/>
  <c r="I75" i="87"/>
  <c r="I63" i="100"/>
  <c r="I19" i="73"/>
  <c r="I43" i="85"/>
  <c r="I79" i="85"/>
  <c r="I35" i="87"/>
  <c r="I43" i="87"/>
  <c r="I47" i="86"/>
  <c r="I11" i="79"/>
  <c r="I107" i="86"/>
  <c r="I15" i="75"/>
  <c r="I71" i="87"/>
  <c r="I23" i="86"/>
  <c r="I73" i="100"/>
  <c r="I7" i="81"/>
  <c r="I55" i="85"/>
  <c r="I27" i="74"/>
  <c r="I119" i="85"/>
  <c r="I11" i="87"/>
  <c r="I3" i="73"/>
  <c r="I7" i="75"/>
  <c r="I31" i="73"/>
  <c r="I63" i="74"/>
  <c r="I47" i="87"/>
  <c r="I103" i="86"/>
  <c r="I99" i="85"/>
  <c r="I123" i="102" l="1"/>
  <c r="I31" i="101"/>
  <c r="I70" i="100"/>
  <c r="I71" i="100"/>
  <c r="I69" i="100"/>
  <c r="I67" i="100"/>
  <c r="I68" i="100"/>
  <c r="I70" i="75"/>
  <c r="I69" i="74"/>
  <c r="I31" i="81"/>
  <c r="I31" i="80"/>
  <c r="I31" i="79"/>
  <c r="I70" i="74"/>
  <c r="I123" i="85"/>
  <c r="I123" i="86"/>
  <c r="I69" i="75"/>
  <c r="I71" i="75"/>
  <c r="I69" i="73"/>
  <c r="I67" i="75"/>
  <c r="I68" i="75"/>
  <c r="I71" i="74"/>
  <c r="I67" i="73"/>
  <c r="I68" i="73"/>
  <c r="I70" i="73"/>
  <c r="I123" i="87"/>
  <c r="I68" i="74"/>
  <c r="I67" i="74"/>
  <c r="I71" i="73"/>
</calcChain>
</file>

<file path=xl/sharedStrings.xml><?xml version="1.0" encoding="utf-8"?>
<sst xmlns="http://schemas.openxmlformats.org/spreadsheetml/2006/main" count="444" uniqueCount="71">
  <si>
    <t>kbps</t>
  </si>
  <si>
    <t>Y psnr</t>
  </si>
  <si>
    <t>All</t>
  </si>
  <si>
    <t>PSNR_Y</t>
    <phoneticPr fontId="1" type="noConversion"/>
  </si>
  <si>
    <t>Class B</t>
    <phoneticPr fontId="1" type="noConversion"/>
  </si>
  <si>
    <t>1920x1080</t>
    <phoneticPr fontId="1" type="noConversion"/>
  </si>
  <si>
    <t>Class C</t>
    <phoneticPr fontId="1" type="noConversion"/>
  </si>
  <si>
    <t>832x480</t>
    <phoneticPr fontId="1" type="noConversion"/>
  </si>
  <si>
    <t>Class D</t>
    <phoneticPr fontId="1" type="noConversion"/>
  </si>
  <si>
    <t>416X240</t>
    <phoneticPr fontId="1" type="noConversion"/>
  </si>
  <si>
    <t>Class E</t>
    <phoneticPr fontId="1" type="noConversion"/>
  </si>
  <si>
    <t>1280x720</t>
    <phoneticPr fontId="1" type="noConversion"/>
  </si>
  <si>
    <t>BQTerrace</t>
    <phoneticPr fontId="1" type="noConversion"/>
  </si>
  <si>
    <t>BQMall</t>
  </si>
  <si>
    <t>BasketballPass</t>
  </si>
  <si>
    <t>BlowingBubbles</t>
  </si>
  <si>
    <t>FourPeople</t>
  </si>
  <si>
    <t>Johnny</t>
  </si>
  <si>
    <t>Cactus</t>
    <phoneticPr fontId="1" type="noConversion"/>
  </si>
  <si>
    <t>BQSquare</t>
  </si>
  <si>
    <t>RaceHorses</t>
  </si>
  <si>
    <t>KristenAndSara</t>
  </si>
  <si>
    <t>Kimono</t>
    <phoneticPr fontId="1" type="noConversion"/>
  </si>
  <si>
    <t>ParkScene</t>
    <phoneticPr fontId="1" type="noConversion"/>
  </si>
  <si>
    <t>QP</t>
    <phoneticPr fontId="1" type="noConversion"/>
  </si>
  <si>
    <t>Reference</t>
    <phoneticPr fontId="1" type="noConversion"/>
  </si>
  <si>
    <t>Test</t>
    <phoneticPr fontId="1" type="noConversion"/>
  </si>
  <si>
    <t>BasketballDrive</t>
    <phoneticPr fontId="1" type="noConversion"/>
  </si>
  <si>
    <t xml:space="preserve">BasketballDrill </t>
    <phoneticPr fontId="1" type="noConversion"/>
  </si>
  <si>
    <t>PartyScene</t>
    <phoneticPr fontId="1" type="noConversion"/>
  </si>
  <si>
    <t>RaceHorsesC</t>
    <phoneticPr fontId="1" type="noConversion"/>
  </si>
  <si>
    <t>RGB psnr</t>
    <phoneticPr fontId="1" type="noConversion"/>
  </si>
  <si>
    <t>UVG</t>
    <phoneticPr fontId="1" type="noConversion"/>
  </si>
  <si>
    <t>Beauty_1920x1080_120fps_8bit_P420.json</t>
  </si>
  <si>
    <t>Bosphorus_1920x1080_120fps_8bit_P420.json</t>
  </si>
  <si>
    <t>HoneyBee_1920x1080_120fps_8bit_P420.json</t>
  </si>
  <si>
    <t>Jockey_1920x1080_120fps_8bit_P420.json</t>
  </si>
  <si>
    <t>ReadySteadyGo_1920x1080_120fps_8bit_P420.json</t>
  </si>
  <si>
    <t>ShakeNDry_1920x1080_120fps_8bit_P420.json</t>
  </si>
  <si>
    <t>YachtRide_1920x1080_120fps_8bit_P420.json</t>
  </si>
  <si>
    <t>videoSRC01</t>
  </si>
  <si>
    <t>videoSRC02</t>
  </si>
  <si>
    <t>videoSRC03</t>
  </si>
  <si>
    <t>videoSRC04</t>
  </si>
  <si>
    <t>videoSRC05</t>
  </si>
  <si>
    <t>videoSRC06</t>
  </si>
  <si>
    <t>videoSRC07</t>
  </si>
  <si>
    <t>videoSRC08</t>
  </si>
  <si>
    <t>videoSRC09</t>
  </si>
  <si>
    <t>videoSRC10</t>
  </si>
  <si>
    <t>videoSRC11</t>
  </si>
  <si>
    <t>videoSRC12</t>
  </si>
  <si>
    <t>videoSRC13</t>
  </si>
  <si>
    <t>videoSRC14</t>
  </si>
  <si>
    <t>videoSRC15</t>
  </si>
  <si>
    <t>videoSRC16</t>
  </si>
  <si>
    <t>videoSRC17</t>
  </si>
  <si>
    <t>videoSRC18</t>
  </si>
  <si>
    <t>videoSRC19</t>
  </si>
  <si>
    <t>videoSRC20</t>
  </si>
  <si>
    <t>videoSRC21</t>
  </si>
  <si>
    <t>videoSRC22</t>
  </si>
  <si>
    <t>videoSRC23</t>
  </si>
  <si>
    <t>videoSRC24</t>
  </si>
  <si>
    <t>videoSRC25</t>
  </si>
  <si>
    <t>videoSRC26</t>
  </si>
  <si>
    <t>videoSRC27</t>
  </si>
  <si>
    <t>videoSRC28</t>
  </si>
  <si>
    <t>videoSRC29</t>
  </si>
  <si>
    <t>videoSRC30</t>
  </si>
  <si>
    <t>avg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</si>
</sst>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%"/>
  </numFmts>
  <fonts count="7">
    <font>
      <sz val="11"/>
      <color theme="1"/>
      <name val="DengXian"/>
      <family val="2"/>
      <scheme val="minor"/>
    </font>
    <font>
      <sz val="9"/>
      <name val="DengXian"/>
      <family val="3"/>
      <charset val="134"/>
      <scheme val="minor"/>
    </font>
    <font>
      <sz val="9"/>
      <name val="Arial"/>
      <family val="2"/>
    </font>
    <font>
      <b/>
      <sz val="9"/>
      <name val="Arial"/>
      <family val="2"/>
    </font>
    <font>
      <sz val="9"/>
      <color indexed="8"/>
      <name val="Arial"/>
      <family val="2"/>
    </font>
    <font>
      <sz val="10"/>
      <name val="FrutigerNext LT Regular"/>
      <family val="2"/>
    </font>
    <font>
      <b/>
      <sz val="9"/>
      <name val="思源黑体 CN Heavy"/>
      <family val="2"/>
      <charset val="134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2">
    <xf numFmtId="0" fontId="0" fillId="0" borderId="0"/>
    <xf numFmtId="0" fontId="5" fillId="0" borderId="0"/>
  </cellStyleXfs>
  <cellXfs count="33">
    <xf numFmtId="0" fontId="0" fillId="0" borderId="0" xfId="0"/>
    <xf numFmtId="0" fontId="2" fillId="0" borderId="0" xfId="0" applyFont="1"/>
    <xf numFmtId="0" fontId="2" fillId="0" borderId="5" xfId="0" applyFont="1" applyBorder="1"/>
    <xf numFmtId="0" fontId="2" fillId="0" borderId="6" xfId="0" applyFont="1" applyBorder="1"/>
    <xf numFmtId="0" fontId="2" fillId="0" borderId="1" xfId="0" applyFont="1" applyBorder="1"/>
    <xf numFmtId="0" fontId="2" fillId="0" borderId="8" xfId="0" applyFont="1" applyBorder="1" applyAlignment="1">
      <alignment horizontal="center"/>
    </xf>
    <xf numFmtId="0" fontId="2" fillId="0" borderId="9" xfId="0" applyFont="1" applyBorder="1"/>
    <xf numFmtId="176" fontId="2" fillId="0" borderId="2" xfId="0" applyNumberFormat="1" applyFont="1" applyBorder="1" applyAlignment="1">
      <alignment horizontal="center"/>
    </xf>
    <xf numFmtId="0" fontId="2" fillId="0" borderId="10" xfId="0" applyFont="1" applyBorder="1"/>
    <xf numFmtId="0" fontId="2" fillId="0" borderId="3" xfId="0" applyFont="1" applyBorder="1"/>
    <xf numFmtId="0" fontId="2" fillId="0" borderId="11" xfId="0" applyFont="1" applyBorder="1"/>
    <xf numFmtId="0" fontId="2" fillId="0" borderId="7" xfId="0" applyFont="1" applyBorder="1"/>
    <xf numFmtId="0" fontId="4" fillId="0" borderId="0" xfId="0" applyFont="1"/>
    <xf numFmtId="0" fontId="2" fillId="0" borderId="7" xfId="0" applyFont="1" applyBorder="1" applyAlignment="1">
      <alignment horizontal="center"/>
    </xf>
    <xf numFmtId="0" fontId="2" fillId="0" borderId="10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2" fillId="0" borderId="11" xfId="0" applyFont="1" applyBorder="1" applyAlignment="1">
      <alignment horizontal="left" vertical="center"/>
    </xf>
    <xf numFmtId="0" fontId="2" fillId="0" borderId="8" xfId="0" applyFont="1" applyBorder="1"/>
    <xf numFmtId="10" fontId="2" fillId="0" borderId="7" xfId="0" applyNumberFormat="1" applyFont="1" applyBorder="1" applyAlignment="1">
      <alignment horizontal="center"/>
    </xf>
    <xf numFmtId="0" fontId="2" fillId="0" borderId="9" xfId="0" applyFont="1" applyBorder="1" applyAlignment="1">
      <alignment horizontal="center" vertical="center"/>
    </xf>
    <xf numFmtId="0" fontId="2" fillId="0" borderId="9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176" fontId="0" fillId="0" borderId="0" xfId="0" applyNumberFormat="1"/>
    <xf numFmtId="0" fontId="0" fillId="0" borderId="0" xfId="0" applyAlignment="1">
      <alignment vertical="center"/>
    </xf>
    <xf numFmtId="0" fontId="3" fillId="0" borderId="5" xfId="0" applyFont="1" applyBorder="1" applyAlignment="1">
      <alignment horizont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</cellXfs>
  <cellStyles count="2">
    <cellStyle name="常规" xfId="0" builtinId="0"/>
    <cellStyle name="常规 2" xfId="1" xr:uid="{00000000-0005-0000-0000-000001000000}"/>
  </cellStyles>
  <dxfs count="4360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DengXian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E94D4-8AE8-46F8-BBEB-C2A37385ECE0}">
  <dimension ref="A1:I88"/>
  <sheetViews>
    <sheetView zoomScaleNormal="100" workbookViewId="0">
      <selection activeCell="P31" sqref="P31"/>
    </sheetView>
  </sheetViews>
  <sheetFormatPr defaultColWidth="8.875" defaultRowHeight="14.25"/>
  <cols>
    <col min="2" max="2" width="25.375" bestFit="1" customWidth="1"/>
    <col min="3" max="3" width="5.875" bestFit="1" customWidth="1"/>
    <col min="6" max="6" width="3.625" bestFit="1" customWidth="1"/>
  </cols>
  <sheetData>
    <row r="1" spans="1:9" ht="15" thickBot="1">
      <c r="A1" s="1"/>
      <c r="B1" s="1"/>
      <c r="C1" s="1"/>
      <c r="D1" s="28" t="s">
        <v>25</v>
      </c>
      <c r="E1" s="29"/>
      <c r="F1" s="1"/>
      <c r="G1" s="28" t="s">
        <v>26</v>
      </c>
      <c r="H1" s="29"/>
      <c r="I1" s="25"/>
    </row>
    <row r="2" spans="1:9" ht="15" thickBot="1">
      <c r="A2" s="2"/>
      <c r="B2" s="3"/>
      <c r="C2" s="22" t="s">
        <v>24</v>
      </c>
      <c r="D2" s="13" t="s">
        <v>0</v>
      </c>
      <c r="E2" s="5" t="s">
        <v>1</v>
      </c>
      <c r="F2" s="22" t="s">
        <v>24</v>
      </c>
      <c r="G2" s="13" t="s">
        <v>0</v>
      </c>
      <c r="H2" s="5" t="s">
        <v>1</v>
      </c>
      <c r="I2" s="13" t="s">
        <v>3</v>
      </c>
    </row>
    <row r="3" spans="1:9">
      <c r="A3" s="20" t="s">
        <v>4</v>
      </c>
      <c r="B3" s="15" t="s">
        <v>27</v>
      </c>
      <c r="C3" s="6">
        <v>27</v>
      </c>
      <c r="D3" s="24">
        <v>0.12852752057613101</v>
      </c>
      <c r="E3" s="24">
        <v>35.7377319335937</v>
      </c>
      <c r="F3" s="6">
        <v>27</v>
      </c>
      <c r="G3" s="24">
        <v>0.12852752057613101</v>
      </c>
      <c r="H3" s="24">
        <v>35.7377319335937</v>
      </c>
      <c r="I3" s="7">
        <f>bdrate($D3:$D6,E3:E6,$G3:$G6,H3:H6)</f>
        <v>0</v>
      </c>
    </row>
    <row r="4" spans="1:9">
      <c r="A4" s="14" t="s">
        <v>5</v>
      </c>
      <c r="B4" s="16"/>
      <c r="C4" s="8">
        <v>32</v>
      </c>
      <c r="D4" s="24">
        <v>8.7893679269547303E-2</v>
      </c>
      <c r="E4" s="24">
        <v>35.213768005371001</v>
      </c>
      <c r="F4" s="8">
        <v>32</v>
      </c>
      <c r="G4" s="24">
        <v>8.7893679269547303E-2</v>
      </c>
      <c r="H4" s="24">
        <v>35.213768005371001</v>
      </c>
      <c r="I4" s="9"/>
    </row>
    <row r="5" spans="1:9">
      <c r="A5" s="8"/>
      <c r="B5" s="16"/>
      <c r="C5" s="8">
        <v>38</v>
      </c>
      <c r="D5" s="24">
        <v>6.1944926697530801E-2</v>
      </c>
      <c r="E5" s="24">
        <v>34.599849700927699</v>
      </c>
      <c r="F5" s="8">
        <v>38</v>
      </c>
      <c r="G5" s="24">
        <v>6.1944926697530801E-2</v>
      </c>
      <c r="H5" s="24">
        <v>34.599849700927699</v>
      </c>
      <c r="I5" s="9"/>
    </row>
    <row r="6" spans="1:9" ht="15" thickBot="1">
      <c r="A6" s="8"/>
      <c r="B6" s="17"/>
      <c r="C6" s="10">
        <v>45</v>
      </c>
      <c r="D6" s="24">
        <v>3.9945505401234503E-2</v>
      </c>
      <c r="E6" s="24">
        <v>33.588111877441399</v>
      </c>
      <c r="F6" s="10">
        <v>45</v>
      </c>
      <c r="G6" s="24">
        <v>3.9945505401234503E-2</v>
      </c>
      <c r="H6" s="24">
        <v>33.588111877441399</v>
      </c>
      <c r="I6" s="2"/>
    </row>
    <row r="7" spans="1:9">
      <c r="A7" s="8"/>
      <c r="B7" s="15" t="s">
        <v>12</v>
      </c>
      <c r="C7" s="6">
        <v>27</v>
      </c>
      <c r="D7" s="24">
        <v>0.20939782664609</v>
      </c>
      <c r="E7" s="24">
        <v>33.5188598632812</v>
      </c>
      <c r="F7" s="6">
        <v>27</v>
      </c>
      <c r="G7" s="24">
        <v>0.20939782664609</v>
      </c>
      <c r="H7" s="24">
        <v>33.5188598632812</v>
      </c>
      <c r="I7" s="7">
        <f>bdrate($D7:$D10,E7:E10,$G7:$G10,H7:H10)</f>
        <v>0</v>
      </c>
    </row>
    <row r="8" spans="1:9">
      <c r="A8" s="8"/>
      <c r="C8" s="8">
        <v>32</v>
      </c>
      <c r="D8" s="24">
        <v>0.115536586934156</v>
      </c>
      <c r="E8" s="24">
        <v>32.664688110351499</v>
      </c>
      <c r="F8" s="8">
        <v>32</v>
      </c>
      <c r="G8" s="24">
        <v>0.115536586934156</v>
      </c>
      <c r="H8" s="24">
        <v>32.664688110351499</v>
      </c>
      <c r="I8" s="9"/>
    </row>
    <row r="9" spans="1:9">
      <c r="A9" s="8"/>
      <c r="B9" s="16"/>
      <c r="C9" s="8">
        <v>38</v>
      </c>
      <c r="D9" s="24">
        <v>7.21736754115226E-2</v>
      </c>
      <c r="E9" s="24">
        <v>31.948848724365199</v>
      </c>
      <c r="F9" s="8">
        <v>38</v>
      </c>
      <c r="G9" s="24">
        <v>7.21736754115226E-2</v>
      </c>
      <c r="H9" s="24">
        <v>31.948848724365199</v>
      </c>
      <c r="I9" s="9"/>
    </row>
    <row r="10" spans="1:9" ht="15" thickBot="1">
      <c r="A10" s="8"/>
      <c r="B10" s="17"/>
      <c r="C10" s="10">
        <v>45</v>
      </c>
      <c r="D10" s="24">
        <v>4.2048932613168701E-2</v>
      </c>
      <c r="E10" s="24">
        <v>30.909786224365199</v>
      </c>
      <c r="F10" s="10">
        <v>45</v>
      </c>
      <c r="G10" s="24">
        <v>4.2048932613168701E-2</v>
      </c>
      <c r="H10" s="24">
        <v>30.909786224365199</v>
      </c>
      <c r="I10" s="9"/>
    </row>
    <row r="11" spans="1:9">
      <c r="A11" s="14"/>
      <c r="B11" s="21" t="s">
        <v>18</v>
      </c>
      <c r="C11" s="6">
        <v>27</v>
      </c>
      <c r="D11" s="24">
        <v>0.145952932098765</v>
      </c>
      <c r="E11" s="24">
        <v>34.099388122558501</v>
      </c>
      <c r="F11" s="6">
        <v>27</v>
      </c>
      <c r="G11" s="24">
        <v>0.145952932098765</v>
      </c>
      <c r="H11" s="24">
        <v>34.099388122558501</v>
      </c>
      <c r="I11" s="7">
        <f>bdrate($D11:$D14,E11:E14,$G11:$G14,H11:H14)</f>
        <v>0</v>
      </c>
    </row>
    <row r="12" spans="1:9">
      <c r="A12" s="14"/>
      <c r="B12" s="16"/>
      <c r="C12" s="8">
        <v>32</v>
      </c>
      <c r="D12" s="24">
        <v>8.8893068415637794E-2</v>
      </c>
      <c r="E12" s="24">
        <v>33.478126525878899</v>
      </c>
      <c r="F12" s="8">
        <v>32</v>
      </c>
      <c r="G12" s="24">
        <v>8.8893068415637794E-2</v>
      </c>
      <c r="H12" s="24">
        <v>33.478126525878899</v>
      </c>
      <c r="I12" s="9"/>
    </row>
    <row r="13" spans="1:9">
      <c r="A13" s="8"/>
      <c r="C13" s="8">
        <v>38</v>
      </c>
      <c r="D13" s="24">
        <v>5.7060024434156302E-2</v>
      </c>
      <c r="E13" s="24">
        <v>32.784072875976499</v>
      </c>
      <c r="F13" s="8">
        <v>38</v>
      </c>
      <c r="G13" s="24">
        <v>5.7060024434156302E-2</v>
      </c>
      <c r="H13" s="24">
        <v>32.784072875976499</v>
      </c>
      <c r="I13" s="9"/>
    </row>
    <row r="14" spans="1:9" ht="15" thickBot="1">
      <c r="A14" s="8"/>
      <c r="B14" s="17"/>
      <c r="C14" s="10">
        <v>45</v>
      </c>
      <c r="D14" s="24">
        <v>3.3213895318930001E-2</v>
      </c>
      <c r="E14" s="24">
        <v>31.670574188232401</v>
      </c>
      <c r="F14" s="10">
        <v>45</v>
      </c>
      <c r="G14" s="24">
        <v>3.3213895318930001E-2</v>
      </c>
      <c r="H14" s="24">
        <v>31.670574188232401</v>
      </c>
      <c r="I14" s="2"/>
    </row>
    <row r="15" spans="1:9">
      <c r="A15" s="8"/>
      <c r="B15" s="15" t="s">
        <v>22</v>
      </c>
      <c r="C15" s="6">
        <v>27</v>
      </c>
      <c r="D15" s="24">
        <v>0.12527874228395</v>
      </c>
      <c r="E15" s="24">
        <v>38.247966766357401</v>
      </c>
      <c r="F15" s="6">
        <v>27</v>
      </c>
      <c r="G15" s="24">
        <v>0.12527874228395</v>
      </c>
      <c r="H15" s="24">
        <v>38.247966766357401</v>
      </c>
      <c r="I15" s="7">
        <f>bdrate($D15:$D18,E15:E18,$G15:$G18,H15:H18)</f>
        <v>0</v>
      </c>
    </row>
    <row r="16" spans="1:9">
      <c r="A16" s="8"/>
      <c r="C16" s="8">
        <v>32</v>
      </c>
      <c r="D16" s="24">
        <v>8.4038548096707799E-2</v>
      </c>
      <c r="E16" s="24">
        <v>37.433433532714801</v>
      </c>
      <c r="F16" s="8">
        <v>32</v>
      </c>
      <c r="G16" s="24">
        <v>8.4038548096707799E-2</v>
      </c>
      <c r="H16" s="24">
        <v>37.433433532714801</v>
      </c>
      <c r="I16" s="9"/>
    </row>
    <row r="17" spans="1:9">
      <c r="A17" s="8"/>
      <c r="B17" s="16"/>
      <c r="C17" s="8">
        <v>38</v>
      </c>
      <c r="D17" s="24">
        <v>5.7751575360082297E-2</v>
      </c>
      <c r="E17" s="24">
        <v>36.477035522460902</v>
      </c>
      <c r="F17" s="8">
        <v>38</v>
      </c>
      <c r="G17" s="24">
        <v>5.7751575360082297E-2</v>
      </c>
      <c r="H17" s="24">
        <v>36.477035522460902</v>
      </c>
      <c r="I17" s="9"/>
    </row>
    <row r="18" spans="1:9" ht="15" thickBot="1">
      <c r="A18" s="8"/>
      <c r="B18" s="17"/>
      <c r="C18" s="10">
        <v>45</v>
      </c>
      <c r="D18" s="24">
        <v>3.5754565329218099E-2</v>
      </c>
      <c r="E18" s="24">
        <v>34.980873107910099</v>
      </c>
      <c r="F18" s="10">
        <v>45</v>
      </c>
      <c r="G18" s="24">
        <v>3.5754565329218099E-2</v>
      </c>
      <c r="H18" s="24">
        <v>34.980873107910099</v>
      </c>
      <c r="I18" s="9"/>
    </row>
    <row r="19" spans="1:9">
      <c r="A19" s="8"/>
      <c r="B19" s="21" t="s">
        <v>23</v>
      </c>
      <c r="C19" s="6">
        <v>27</v>
      </c>
      <c r="D19" s="24">
        <v>0.150858892746913</v>
      </c>
      <c r="E19" s="24">
        <v>35.021903991699197</v>
      </c>
      <c r="F19" s="6">
        <v>27</v>
      </c>
      <c r="G19" s="24">
        <v>0.150858892746913</v>
      </c>
      <c r="H19" s="24">
        <v>35.021903991699197</v>
      </c>
      <c r="I19" s="7">
        <f>bdrate($D19:$D22,E19:E22,$G19:$G22,H19:H22)</f>
        <v>0</v>
      </c>
    </row>
    <row r="20" spans="1:9">
      <c r="A20" s="8"/>
      <c r="B20" s="16"/>
      <c r="C20" s="8">
        <v>32</v>
      </c>
      <c r="D20" s="24">
        <v>9.2465599279835303E-2</v>
      </c>
      <c r="E20" s="24">
        <v>33.912879943847599</v>
      </c>
      <c r="F20" s="8">
        <v>32</v>
      </c>
      <c r="G20" s="24">
        <v>9.2465599279835303E-2</v>
      </c>
      <c r="H20" s="24">
        <v>33.912879943847599</v>
      </c>
      <c r="I20" s="9"/>
    </row>
    <row r="21" spans="1:9">
      <c r="A21" s="8"/>
      <c r="B21" s="16"/>
      <c r="C21" s="8">
        <v>38</v>
      </c>
      <c r="D21" s="24">
        <v>5.93166473765432E-2</v>
      </c>
      <c r="E21" s="24">
        <v>32.780540466308501</v>
      </c>
      <c r="F21" s="8">
        <v>38</v>
      </c>
      <c r="G21" s="24">
        <v>5.93166473765432E-2</v>
      </c>
      <c r="H21" s="24">
        <v>32.780540466308501</v>
      </c>
      <c r="I21" s="9"/>
    </row>
    <row r="22" spans="1:9" ht="15" thickBot="1">
      <c r="A22" s="8"/>
      <c r="B22" s="17"/>
      <c r="C22" s="10">
        <v>45</v>
      </c>
      <c r="D22" s="24">
        <v>3.3872974537036998E-2</v>
      </c>
      <c r="E22" s="24">
        <v>31.2306823730468</v>
      </c>
      <c r="F22" s="10">
        <v>45</v>
      </c>
      <c r="G22" s="24">
        <v>3.3872974537036998E-2</v>
      </c>
      <c r="H22" s="24">
        <v>31.2306823730468</v>
      </c>
      <c r="I22" s="2"/>
    </row>
    <row r="23" spans="1:9">
      <c r="A23" s="20" t="s">
        <v>6</v>
      </c>
      <c r="B23" s="15" t="s">
        <v>28</v>
      </c>
      <c r="C23" s="6">
        <v>27</v>
      </c>
      <c r="D23" s="24">
        <v>0.16314519898504201</v>
      </c>
      <c r="E23" s="24">
        <v>35.106185913085902</v>
      </c>
      <c r="F23" s="6">
        <v>27</v>
      </c>
      <c r="G23" s="24">
        <v>0.16314519898504201</v>
      </c>
      <c r="H23" s="24">
        <v>35.106185913085902</v>
      </c>
      <c r="I23" s="7">
        <f>bdrate($D23:$D26,E23:E26,$G23:$G26,H23:H26)</f>
        <v>0</v>
      </c>
    </row>
    <row r="24" spans="1:9">
      <c r="A24" s="14" t="s">
        <v>7</v>
      </c>
      <c r="B24" s="16"/>
      <c r="C24" s="8">
        <v>32</v>
      </c>
      <c r="D24" s="24">
        <v>0.113540831997863</v>
      </c>
      <c r="E24" s="24">
        <v>34.248420715332003</v>
      </c>
      <c r="F24" s="8">
        <v>32</v>
      </c>
      <c r="G24" s="24">
        <v>0.113540831997863</v>
      </c>
      <c r="H24" s="24">
        <v>34.248420715332003</v>
      </c>
      <c r="I24" s="9"/>
    </row>
    <row r="25" spans="1:9">
      <c r="A25" s="8"/>
      <c r="B25" s="16"/>
      <c r="C25" s="8">
        <v>38</v>
      </c>
      <c r="D25" s="24">
        <v>7.9633246527777701E-2</v>
      </c>
      <c r="E25" s="24">
        <v>33.278575897216797</v>
      </c>
      <c r="F25" s="8">
        <v>38</v>
      </c>
      <c r="G25" s="24">
        <v>7.9633246527777701E-2</v>
      </c>
      <c r="H25" s="24">
        <v>33.278575897216797</v>
      </c>
      <c r="I25" s="9"/>
    </row>
    <row r="26" spans="1:9" ht="15" thickBot="1">
      <c r="A26" s="8"/>
      <c r="B26" s="17"/>
      <c r="C26" s="10">
        <v>45</v>
      </c>
      <c r="D26" s="24">
        <v>4.9858940972222203E-2</v>
      </c>
      <c r="E26" s="24">
        <v>31.819387435913001</v>
      </c>
      <c r="F26" s="10">
        <v>45</v>
      </c>
      <c r="G26" s="24">
        <v>4.9858940972222203E-2</v>
      </c>
      <c r="H26" s="24">
        <v>31.819387435913001</v>
      </c>
      <c r="I26" s="2"/>
    </row>
    <row r="27" spans="1:9">
      <c r="A27" s="8"/>
      <c r="B27" s="15" t="s">
        <v>13</v>
      </c>
      <c r="C27" s="6">
        <v>27</v>
      </c>
      <c r="D27" s="24">
        <v>0.20293219150641001</v>
      </c>
      <c r="E27" s="24">
        <v>34.739761352538999</v>
      </c>
      <c r="F27" s="6">
        <v>27</v>
      </c>
      <c r="G27" s="24">
        <v>0.20293219150641001</v>
      </c>
      <c r="H27" s="24">
        <v>34.739761352538999</v>
      </c>
      <c r="I27" s="7">
        <f>bdrate($D27:$D30,E27:E30,$G27:$G30,H27:H30)</f>
        <v>0</v>
      </c>
    </row>
    <row r="28" spans="1:9">
      <c r="A28" s="8"/>
      <c r="B28" s="16"/>
      <c r="C28" s="8">
        <v>32</v>
      </c>
      <c r="D28" s="24">
        <v>0.14119257478632399</v>
      </c>
      <c r="E28" s="24">
        <v>33.811141967773402</v>
      </c>
      <c r="F28" s="8">
        <v>32</v>
      </c>
      <c r="G28" s="24">
        <v>0.14119257478632399</v>
      </c>
      <c r="H28" s="24">
        <v>33.811141967773402</v>
      </c>
      <c r="I28" s="9"/>
    </row>
    <row r="29" spans="1:9">
      <c r="A29" s="8"/>
      <c r="B29" s="16"/>
      <c r="C29" s="8">
        <v>38</v>
      </c>
      <c r="D29" s="24">
        <v>9.9886485042734993E-2</v>
      </c>
      <c r="E29" s="24">
        <v>32.753860473632798</v>
      </c>
      <c r="F29" s="8">
        <v>38</v>
      </c>
      <c r="G29" s="24">
        <v>9.9886485042734993E-2</v>
      </c>
      <c r="H29" s="24">
        <v>32.753860473632798</v>
      </c>
      <c r="I29" s="9"/>
    </row>
    <row r="30" spans="1:9" ht="15" thickBot="1">
      <c r="A30" s="8"/>
      <c r="B30" s="17"/>
      <c r="C30" s="10">
        <v>45</v>
      </c>
      <c r="D30" s="24">
        <v>6.2670272435897401E-2</v>
      </c>
      <c r="E30" s="24">
        <v>31.0444221496582</v>
      </c>
      <c r="F30" s="10">
        <v>45</v>
      </c>
      <c r="G30" s="24">
        <v>6.2670272435897401E-2</v>
      </c>
      <c r="H30" s="24">
        <v>31.0444221496582</v>
      </c>
      <c r="I30" s="2"/>
    </row>
    <row r="31" spans="1:9">
      <c r="A31" s="14"/>
      <c r="B31" s="15" t="s">
        <v>29</v>
      </c>
      <c r="C31" s="6">
        <v>27</v>
      </c>
      <c r="D31" s="24">
        <v>0.39725060096153803</v>
      </c>
      <c r="E31" s="24">
        <v>31.388912200927699</v>
      </c>
      <c r="F31" s="6">
        <v>27</v>
      </c>
      <c r="G31" s="24">
        <v>0.39725060096153803</v>
      </c>
      <c r="H31" s="24">
        <v>31.388912200927699</v>
      </c>
      <c r="I31" s="7">
        <f>bdrate($D31:$D34,E31:E34,$G31:$G34,H31:H34)</f>
        <v>0</v>
      </c>
    </row>
    <row r="32" spans="1:9">
      <c r="A32" s="14"/>
      <c r="B32" s="16"/>
      <c r="C32" s="8">
        <v>32</v>
      </c>
      <c r="D32" s="24">
        <v>0.26682775774572598</v>
      </c>
      <c r="E32" s="24">
        <v>30.264736175537099</v>
      </c>
      <c r="F32" s="8">
        <v>32</v>
      </c>
      <c r="G32" s="24">
        <v>0.26682775774572598</v>
      </c>
      <c r="H32" s="24">
        <v>30.264736175537099</v>
      </c>
      <c r="I32" s="9"/>
    </row>
    <row r="33" spans="1:9">
      <c r="A33" s="8"/>
      <c r="B33" s="16"/>
      <c r="C33" s="8">
        <v>38</v>
      </c>
      <c r="D33" s="24">
        <v>0.18245108840811899</v>
      </c>
      <c r="E33" s="24">
        <v>29.153356552123999</v>
      </c>
      <c r="F33" s="8">
        <v>38</v>
      </c>
      <c r="G33" s="24">
        <v>0.18245108840811899</v>
      </c>
      <c r="H33" s="24">
        <v>29.153356552123999</v>
      </c>
      <c r="I33" s="9"/>
    </row>
    <row r="34" spans="1:9" ht="15" thickBot="1">
      <c r="A34" s="8"/>
      <c r="B34" s="17"/>
      <c r="C34" s="10">
        <v>45</v>
      </c>
      <c r="D34" s="24">
        <v>0.10890925480769199</v>
      </c>
      <c r="E34" s="24">
        <v>27.6265258789062</v>
      </c>
      <c r="F34" s="10">
        <v>45</v>
      </c>
      <c r="G34" s="24">
        <v>0.10890925480769199</v>
      </c>
      <c r="H34" s="24">
        <v>27.6265258789062</v>
      </c>
      <c r="I34" s="2"/>
    </row>
    <row r="35" spans="1:9">
      <c r="A35" s="8"/>
      <c r="B35" s="15" t="s">
        <v>30</v>
      </c>
      <c r="C35" s="6">
        <v>27</v>
      </c>
      <c r="D35" s="24">
        <v>0.43841980502136702</v>
      </c>
      <c r="E35" s="24">
        <v>33.166545867919901</v>
      </c>
      <c r="F35" s="6">
        <v>27</v>
      </c>
      <c r="G35" s="24">
        <v>0.43841980502136702</v>
      </c>
      <c r="H35" s="24">
        <v>33.166545867919901</v>
      </c>
      <c r="I35" s="7">
        <f>bdrate($D35:$D38,E35:E38,$G35:$G38,H35:H38)</f>
        <v>0</v>
      </c>
    </row>
    <row r="36" spans="1:9">
      <c r="A36" s="8"/>
      <c r="B36" s="16"/>
      <c r="C36" s="8">
        <v>32</v>
      </c>
      <c r="D36" s="24">
        <v>0.29450287126068297</v>
      </c>
      <c r="E36" s="24">
        <v>32.267864227294901</v>
      </c>
      <c r="F36" s="8">
        <v>32</v>
      </c>
      <c r="G36" s="24">
        <v>0.29450287126068297</v>
      </c>
      <c r="H36" s="24">
        <v>32.267864227294901</v>
      </c>
      <c r="I36" s="9"/>
    </row>
    <row r="37" spans="1:9">
      <c r="A37" s="8"/>
      <c r="B37" s="16"/>
      <c r="C37" s="8">
        <v>38</v>
      </c>
      <c r="D37" s="24">
        <v>0.18737229567307601</v>
      </c>
      <c r="E37" s="24">
        <v>31.106258392333899</v>
      </c>
      <c r="F37" s="8">
        <v>38</v>
      </c>
      <c r="G37" s="24">
        <v>0.18737229567307601</v>
      </c>
      <c r="H37" s="24">
        <v>31.106258392333899</v>
      </c>
      <c r="I37" s="9"/>
    </row>
    <row r="38" spans="1:9" ht="15" thickBot="1">
      <c r="A38" s="8"/>
      <c r="B38" s="17"/>
      <c r="C38" s="10">
        <v>45</v>
      </c>
      <c r="D38" s="24">
        <v>0.105884415064102</v>
      </c>
      <c r="E38" s="24">
        <v>29.440130233764599</v>
      </c>
      <c r="F38" s="10">
        <v>45</v>
      </c>
      <c r="G38" s="24">
        <v>0.105884415064102</v>
      </c>
      <c r="H38" s="24">
        <v>29.440130233764599</v>
      </c>
      <c r="I38" s="2"/>
    </row>
    <row r="39" spans="1:9">
      <c r="A39" s="20" t="s">
        <v>8</v>
      </c>
      <c r="B39" s="15" t="s">
        <v>14</v>
      </c>
      <c r="C39" s="6">
        <v>27</v>
      </c>
      <c r="D39" s="24">
        <v>0.18964009081196501</v>
      </c>
      <c r="E39" s="24">
        <v>36.120231628417898</v>
      </c>
      <c r="F39" s="6">
        <v>27</v>
      </c>
      <c r="G39" s="24">
        <v>0.18964009081196501</v>
      </c>
      <c r="H39" s="24">
        <v>36.120231628417898</v>
      </c>
      <c r="I39" s="7">
        <f>bdrate($D39:$D42,E39:E42,$G39:$G42,H39:H42)</f>
        <v>0</v>
      </c>
    </row>
    <row r="40" spans="1:9">
      <c r="A40" s="14" t="s">
        <v>9</v>
      </c>
      <c r="B40" s="16"/>
      <c r="C40" s="8">
        <v>32</v>
      </c>
      <c r="D40" s="24">
        <v>0.13537994123931599</v>
      </c>
      <c r="E40" s="24">
        <v>35.041999816894503</v>
      </c>
      <c r="F40" s="8">
        <v>32</v>
      </c>
      <c r="G40" s="24">
        <v>0.13537994123931599</v>
      </c>
      <c r="H40" s="24">
        <v>35.041999816894503</v>
      </c>
      <c r="I40" s="9"/>
    </row>
    <row r="41" spans="1:9">
      <c r="A41" s="8"/>
      <c r="B41" s="16"/>
      <c r="C41" s="8">
        <v>38</v>
      </c>
      <c r="D41" s="24">
        <v>9.5586271367521305E-2</v>
      </c>
      <c r="E41" s="24">
        <v>33.824668884277301</v>
      </c>
      <c r="F41" s="8">
        <v>38</v>
      </c>
      <c r="G41" s="24">
        <v>9.5586271367521305E-2</v>
      </c>
      <c r="H41" s="24">
        <v>33.824668884277301</v>
      </c>
      <c r="I41" s="9"/>
    </row>
    <row r="42" spans="1:9" ht="15" thickBot="1">
      <c r="A42" s="8"/>
      <c r="B42" s="17"/>
      <c r="C42" s="10">
        <v>45</v>
      </c>
      <c r="D42" s="24">
        <v>5.9728899572649499E-2</v>
      </c>
      <c r="E42" s="24">
        <v>31.920585632324201</v>
      </c>
      <c r="F42" s="10">
        <v>45</v>
      </c>
      <c r="G42" s="24">
        <v>5.9728899572649499E-2</v>
      </c>
      <c r="H42" s="24">
        <v>31.920585632324201</v>
      </c>
      <c r="I42" s="2"/>
    </row>
    <row r="43" spans="1:9">
      <c r="A43" s="8"/>
      <c r="B43" s="15" t="s">
        <v>19</v>
      </c>
      <c r="C43" s="6">
        <v>27</v>
      </c>
      <c r="D43" s="24">
        <v>0.30197315705128203</v>
      </c>
      <c r="E43" s="24">
        <v>32.797653198242102</v>
      </c>
      <c r="F43" s="6">
        <v>27</v>
      </c>
      <c r="G43" s="24">
        <v>0.30197315705128203</v>
      </c>
      <c r="H43" s="24">
        <v>32.797653198242102</v>
      </c>
      <c r="I43" s="7">
        <f>bdrate($D43:$D46,E43:E46,$G43:$G46,H43:H46)</f>
        <v>0</v>
      </c>
    </row>
    <row r="44" spans="1:9">
      <c r="A44" s="8"/>
      <c r="B44" s="16"/>
      <c r="C44" s="8">
        <v>32</v>
      </c>
      <c r="D44" s="24">
        <v>0.199098557692307</v>
      </c>
      <c r="E44" s="24">
        <v>31.6095657348632</v>
      </c>
      <c r="F44" s="8">
        <v>32</v>
      </c>
      <c r="G44" s="24">
        <v>0.199098557692307</v>
      </c>
      <c r="H44" s="24">
        <v>31.6095657348632</v>
      </c>
      <c r="I44" s="9"/>
    </row>
    <row r="45" spans="1:9">
      <c r="A45" s="8"/>
      <c r="B45" s="16"/>
      <c r="C45" s="8">
        <v>38</v>
      </c>
      <c r="D45" s="24">
        <v>0.13370058760683701</v>
      </c>
      <c r="E45" s="24">
        <v>30.422903060913001</v>
      </c>
      <c r="F45" s="8">
        <v>38</v>
      </c>
      <c r="G45" s="24">
        <v>0.13370058760683701</v>
      </c>
      <c r="H45" s="24">
        <v>30.422903060913001</v>
      </c>
      <c r="I45" s="9"/>
    </row>
    <row r="46" spans="1:9" ht="15" thickBot="1">
      <c r="A46" s="8"/>
      <c r="B46" s="17"/>
      <c r="C46" s="10">
        <v>45</v>
      </c>
      <c r="D46" s="24">
        <v>7.8472222222222193E-2</v>
      </c>
      <c r="E46" s="24">
        <v>28.700370788574201</v>
      </c>
      <c r="F46" s="10">
        <v>45</v>
      </c>
      <c r="G46" s="24">
        <v>7.8472222222222193E-2</v>
      </c>
      <c r="H46" s="24">
        <v>28.700370788574201</v>
      </c>
      <c r="I46" s="2"/>
    </row>
    <row r="47" spans="1:9">
      <c r="A47" s="14"/>
      <c r="B47" s="15" t="s">
        <v>15</v>
      </c>
      <c r="C47" s="6">
        <v>27</v>
      </c>
      <c r="D47" s="24">
        <v>0.30123530982905899</v>
      </c>
      <c r="E47" s="24">
        <v>32.879756927490199</v>
      </c>
      <c r="F47" s="6">
        <v>27</v>
      </c>
      <c r="G47" s="24">
        <v>0.30123530982905899</v>
      </c>
      <c r="H47" s="24">
        <v>32.879756927490199</v>
      </c>
      <c r="I47" s="7">
        <f>bdrate($D47:$D50,E47:E50,$G47:$G50,H47:H50)</f>
        <v>0</v>
      </c>
    </row>
    <row r="48" spans="1:9">
      <c r="A48" s="14"/>
      <c r="B48" s="16"/>
      <c r="C48" s="8">
        <v>32</v>
      </c>
      <c r="D48" s="24">
        <v>0.199121928418803</v>
      </c>
      <c r="E48" s="24">
        <v>31.612928390502901</v>
      </c>
      <c r="F48" s="8">
        <v>32</v>
      </c>
      <c r="G48" s="24">
        <v>0.199121928418803</v>
      </c>
      <c r="H48" s="24">
        <v>31.612928390502901</v>
      </c>
      <c r="I48" s="9"/>
    </row>
    <row r="49" spans="1:9">
      <c r="A49" s="8"/>
      <c r="B49" s="16"/>
      <c r="C49" s="8">
        <v>38</v>
      </c>
      <c r="D49" s="24">
        <v>0.13046541132478601</v>
      </c>
      <c r="E49" s="24">
        <v>30.2335491180419</v>
      </c>
      <c r="F49" s="8">
        <v>38</v>
      </c>
      <c r="G49" s="24">
        <v>0.13046541132478601</v>
      </c>
      <c r="H49" s="24">
        <v>30.2335491180419</v>
      </c>
      <c r="I49" s="9"/>
    </row>
    <row r="50" spans="1:9" ht="15" thickBot="1">
      <c r="A50" s="8"/>
      <c r="B50" s="17"/>
      <c r="C50" s="10">
        <v>45</v>
      </c>
      <c r="D50" s="24">
        <v>7.5540865384615297E-2</v>
      </c>
      <c r="E50" s="24">
        <v>28.373455047607401</v>
      </c>
      <c r="F50" s="10">
        <v>45</v>
      </c>
      <c r="G50" s="24">
        <v>7.5540865384615297E-2</v>
      </c>
      <c r="H50" s="24">
        <v>28.373455047607401</v>
      </c>
      <c r="I50" s="2"/>
    </row>
    <row r="51" spans="1:9">
      <c r="A51" s="8"/>
      <c r="B51" s="15" t="s">
        <v>20</v>
      </c>
      <c r="C51" s="6">
        <v>27</v>
      </c>
      <c r="D51" s="24">
        <v>0.41608239850427298</v>
      </c>
      <c r="E51" s="24">
        <v>34.130081176757798</v>
      </c>
      <c r="F51" s="6">
        <v>27</v>
      </c>
      <c r="G51" s="24">
        <v>0.41608239850427298</v>
      </c>
      <c r="H51" s="24">
        <v>34.130081176757798</v>
      </c>
      <c r="I51" s="7">
        <f>bdrate($D51:$D54,E51:E54,$G51:$G54,H51:H54)</f>
        <v>0</v>
      </c>
    </row>
    <row r="52" spans="1:9">
      <c r="A52" s="8"/>
      <c r="B52" s="16"/>
      <c r="C52" s="8">
        <v>32</v>
      </c>
      <c r="D52" s="24">
        <v>0.286942441239316</v>
      </c>
      <c r="E52" s="24">
        <v>32.937938690185497</v>
      </c>
      <c r="F52" s="8">
        <v>32</v>
      </c>
      <c r="G52" s="24">
        <v>0.286942441239316</v>
      </c>
      <c r="H52" s="24">
        <v>32.937938690185497</v>
      </c>
      <c r="I52" s="9"/>
    </row>
    <row r="53" spans="1:9">
      <c r="A53" s="8"/>
      <c r="B53" s="16"/>
      <c r="C53" s="8">
        <v>38</v>
      </c>
      <c r="D53" s="24">
        <v>0.19703525641025599</v>
      </c>
      <c r="E53" s="24">
        <v>31.568296432495099</v>
      </c>
      <c r="F53" s="8">
        <v>38</v>
      </c>
      <c r="G53" s="24">
        <v>0.19703525641025599</v>
      </c>
      <c r="H53" s="24">
        <v>31.568296432495099</v>
      </c>
      <c r="I53" s="9"/>
    </row>
    <row r="54" spans="1:9" ht="15" thickBot="1">
      <c r="A54" s="8"/>
      <c r="B54" s="17"/>
      <c r="C54" s="10">
        <v>45</v>
      </c>
      <c r="D54" s="24">
        <v>0.117561431623931</v>
      </c>
      <c r="E54" s="24">
        <v>29.6521797180175</v>
      </c>
      <c r="F54" s="10">
        <v>45</v>
      </c>
      <c r="G54" s="24">
        <v>0.117561431623931</v>
      </c>
      <c r="H54" s="24">
        <v>29.6521797180175</v>
      </c>
      <c r="I54" s="2"/>
    </row>
    <row r="55" spans="1:9">
      <c r="A55" s="20" t="s">
        <v>10</v>
      </c>
      <c r="B55" s="15" t="s">
        <v>16</v>
      </c>
      <c r="C55" s="6">
        <v>27</v>
      </c>
      <c r="D55" s="24">
        <v>3.8115596064814801E-2</v>
      </c>
      <c r="E55" s="24">
        <v>38.637443542480398</v>
      </c>
      <c r="F55" s="6">
        <v>27</v>
      </c>
      <c r="G55" s="24">
        <v>3.8115596064814801E-2</v>
      </c>
      <c r="H55" s="24">
        <v>38.637443542480398</v>
      </c>
      <c r="I55" s="7">
        <f>bdrate($D55:$D58,E55:E58,$G55:$G58,H55:H58)</f>
        <v>0</v>
      </c>
    </row>
    <row r="56" spans="1:9">
      <c r="A56" s="14" t="s">
        <v>11</v>
      </c>
      <c r="B56" s="16"/>
      <c r="C56" s="8">
        <v>32</v>
      </c>
      <c r="D56" s="24">
        <v>2.6616753472222199E-2</v>
      </c>
      <c r="E56" s="24">
        <v>37.999210357666001</v>
      </c>
      <c r="F56" s="8">
        <v>32</v>
      </c>
      <c r="G56" s="24">
        <v>2.6616753472222199E-2</v>
      </c>
      <c r="H56" s="24">
        <v>37.999210357666001</v>
      </c>
      <c r="I56" s="9"/>
    </row>
    <row r="57" spans="1:9">
      <c r="A57" s="8"/>
      <c r="B57" s="16"/>
      <c r="C57" s="8">
        <v>38</v>
      </c>
      <c r="D57" s="24">
        <v>1.9542824074074001E-2</v>
      </c>
      <c r="E57" s="24">
        <v>37.205001831054602</v>
      </c>
      <c r="F57" s="8">
        <v>38</v>
      </c>
      <c r="G57" s="24">
        <v>1.9542824074074001E-2</v>
      </c>
      <c r="H57" s="24">
        <v>37.205001831054602</v>
      </c>
      <c r="I57" s="9"/>
    </row>
    <row r="58" spans="1:9" ht="15" thickBot="1">
      <c r="A58" s="8"/>
      <c r="B58" s="17"/>
      <c r="C58" s="10">
        <v>45</v>
      </c>
      <c r="D58" s="24">
        <v>1.37033420138888E-2</v>
      </c>
      <c r="E58" s="24">
        <v>35.718410491943303</v>
      </c>
      <c r="F58" s="10">
        <v>45</v>
      </c>
      <c r="G58" s="24">
        <v>1.37033420138888E-2</v>
      </c>
      <c r="H58" s="24">
        <v>35.718410491943303</v>
      </c>
      <c r="I58" s="2"/>
    </row>
    <row r="59" spans="1:9">
      <c r="A59" s="8"/>
      <c r="B59" s="15" t="s">
        <v>17</v>
      </c>
      <c r="C59" s="6">
        <v>27</v>
      </c>
      <c r="D59" s="24">
        <v>2.85101996527777E-2</v>
      </c>
      <c r="E59" s="24">
        <v>38.910476684570298</v>
      </c>
      <c r="F59" s="6">
        <v>27</v>
      </c>
      <c r="G59" s="24">
        <v>2.85101996527777E-2</v>
      </c>
      <c r="H59" s="24">
        <v>38.910476684570298</v>
      </c>
      <c r="I59" s="7">
        <f>bdrate($D59:$D62,E59:E62,$G59:$G62,H59:H62)</f>
        <v>0</v>
      </c>
    </row>
    <row r="60" spans="1:9">
      <c r="A60" s="8"/>
      <c r="B60" s="16"/>
      <c r="C60" s="8">
        <v>32</v>
      </c>
      <c r="D60" s="24">
        <v>1.89735243055555E-2</v>
      </c>
      <c r="E60" s="24">
        <v>38.380584716796797</v>
      </c>
      <c r="F60" s="8">
        <v>32</v>
      </c>
      <c r="G60" s="24">
        <v>1.89735243055555E-2</v>
      </c>
      <c r="H60" s="24">
        <v>38.380584716796797</v>
      </c>
      <c r="I60" s="9"/>
    </row>
    <row r="61" spans="1:9">
      <c r="A61" s="8"/>
      <c r="B61" s="16"/>
      <c r="C61" s="8">
        <v>38</v>
      </c>
      <c r="D61" s="24">
        <v>1.3864293981481399E-2</v>
      </c>
      <c r="E61" s="24">
        <v>37.796432495117102</v>
      </c>
      <c r="F61" s="8">
        <v>38</v>
      </c>
      <c r="G61" s="24">
        <v>1.3864293981481399E-2</v>
      </c>
      <c r="H61" s="24">
        <v>37.796432495117102</v>
      </c>
      <c r="I61" s="9"/>
    </row>
    <row r="62" spans="1:9" ht="15" thickBot="1">
      <c r="A62" s="8"/>
      <c r="B62" s="17"/>
      <c r="C62" s="10">
        <v>45</v>
      </c>
      <c r="D62" s="24">
        <v>9.7753906249999998E-3</v>
      </c>
      <c r="E62" s="24">
        <v>36.653110504150298</v>
      </c>
      <c r="F62" s="10">
        <v>45</v>
      </c>
      <c r="G62" s="24">
        <v>9.7753906249999998E-3</v>
      </c>
      <c r="H62" s="24">
        <v>36.653110504150298</v>
      </c>
      <c r="I62" s="2"/>
    </row>
    <row r="63" spans="1:9">
      <c r="A63" s="8"/>
      <c r="B63" s="15" t="s">
        <v>21</v>
      </c>
      <c r="C63" s="6">
        <v>27</v>
      </c>
      <c r="D63" s="24">
        <v>3.2752097800925903E-2</v>
      </c>
      <c r="E63" s="24">
        <v>39.020072937011697</v>
      </c>
      <c r="F63" s="6">
        <v>27</v>
      </c>
      <c r="G63" s="24">
        <v>3.2752097800925903E-2</v>
      </c>
      <c r="H63" s="24">
        <v>39.020072937011697</v>
      </c>
      <c r="I63" s="7">
        <f>bdrate($D63:$D66,E63:E66,$G63:$G66,H63:H66)</f>
        <v>0</v>
      </c>
    </row>
    <row r="64" spans="1:9">
      <c r="A64" s="8"/>
      <c r="B64" s="16"/>
      <c r="C64" s="8">
        <v>32</v>
      </c>
      <c r="D64" s="24">
        <v>2.1720196759259201E-2</v>
      </c>
      <c r="E64" s="24">
        <v>38.345558166503899</v>
      </c>
      <c r="F64" s="8">
        <v>32</v>
      </c>
      <c r="G64" s="24">
        <v>2.1720196759259201E-2</v>
      </c>
      <c r="H64" s="24">
        <v>38.345558166503899</v>
      </c>
      <c r="I64" s="9"/>
    </row>
    <row r="65" spans="1:9">
      <c r="A65" s="8"/>
      <c r="B65" s="16"/>
      <c r="C65" s="8">
        <v>38</v>
      </c>
      <c r="D65" s="24">
        <v>1.56731047453703E-2</v>
      </c>
      <c r="E65" s="24">
        <v>37.61669921875</v>
      </c>
      <c r="F65" s="8">
        <v>38</v>
      </c>
      <c r="G65" s="24">
        <v>1.56731047453703E-2</v>
      </c>
      <c r="H65" s="24">
        <v>37.61669921875</v>
      </c>
      <c r="I65" s="9"/>
    </row>
    <row r="66" spans="1:9" ht="15" thickBot="1">
      <c r="A66" s="8"/>
      <c r="B66" s="17"/>
      <c r="C66" s="10">
        <v>45</v>
      </c>
      <c r="D66" s="24">
        <v>1.09653501157407E-2</v>
      </c>
      <c r="E66" s="24">
        <v>36.334205627441399</v>
      </c>
      <c r="F66" s="10">
        <v>45</v>
      </c>
      <c r="G66" s="24">
        <v>1.09653501157407E-2</v>
      </c>
      <c r="H66" s="24">
        <v>36.334205627441399</v>
      </c>
      <c r="I66" s="2"/>
    </row>
    <row r="67" spans="1:9" ht="15" thickBot="1">
      <c r="A67" s="11"/>
      <c r="B67" s="4" t="s">
        <v>2</v>
      </c>
      <c r="C67" s="18"/>
      <c r="D67" s="11"/>
      <c r="E67" s="18"/>
      <c r="F67" s="18"/>
      <c r="G67" s="11"/>
      <c r="H67" s="18"/>
      <c r="I67" s="19">
        <f>AVERAGE(I3:I66)</f>
        <v>0</v>
      </c>
    </row>
    <row r="68" spans="1:9">
      <c r="A68" s="9"/>
      <c r="B68" s="8" t="s">
        <v>4</v>
      </c>
      <c r="C68" s="1"/>
      <c r="D68" s="1"/>
      <c r="E68" s="1"/>
      <c r="F68" s="1"/>
      <c r="G68" s="9"/>
      <c r="H68" s="1"/>
      <c r="I68" s="23">
        <f>AVERAGE(I3:I22)</f>
        <v>0</v>
      </c>
    </row>
    <row r="69" spans="1:9">
      <c r="A69" s="12"/>
      <c r="B69" s="12" t="s">
        <v>6</v>
      </c>
      <c r="C69" s="12"/>
      <c r="D69" s="12"/>
      <c r="E69" s="12"/>
      <c r="F69" s="12"/>
      <c r="G69" s="12"/>
      <c r="H69" s="12"/>
      <c r="I69" s="23">
        <f>AVERAGE(I23:I38)</f>
        <v>0</v>
      </c>
    </row>
    <row r="70" spans="1:9">
      <c r="A70" s="12"/>
      <c r="B70" s="12" t="s">
        <v>8</v>
      </c>
      <c r="C70" s="12"/>
      <c r="D70" s="12"/>
      <c r="E70" s="12"/>
      <c r="F70" s="12"/>
      <c r="G70" s="12"/>
      <c r="H70" s="12"/>
      <c r="I70" s="23">
        <f>AVERAGE(I39:I54)</f>
        <v>0</v>
      </c>
    </row>
    <row r="71" spans="1:9">
      <c r="A71" s="12"/>
      <c r="B71" s="12" t="s">
        <v>10</v>
      </c>
      <c r="C71" s="12"/>
      <c r="D71" s="12"/>
      <c r="E71" s="12"/>
      <c r="F71" s="12"/>
      <c r="G71" s="12"/>
      <c r="H71" s="12"/>
      <c r="I71" s="23">
        <f>AVERAGE(I55:I66)</f>
        <v>0</v>
      </c>
    </row>
    <row r="72" spans="1:9" ht="15" thickBot="1">
      <c r="A72" s="12"/>
      <c r="B72" s="12"/>
      <c r="C72" s="12"/>
      <c r="D72" s="12"/>
      <c r="E72" s="12"/>
      <c r="F72" s="12"/>
      <c r="G72" s="12"/>
      <c r="H72" s="12"/>
    </row>
    <row r="73" spans="1:9">
      <c r="A73" s="12"/>
      <c r="B73" s="12" t="s">
        <v>4</v>
      </c>
      <c r="C73" s="12"/>
      <c r="D73" s="12">
        <f>AVERAGE(D3,D7,D11,D15,D19)</f>
        <v>0.15200318287036979</v>
      </c>
      <c r="E73" s="12">
        <f>AVERAGE(E3,E7,E11,E15,E19)</f>
        <v>35.325170135497999</v>
      </c>
      <c r="F73" s="12"/>
      <c r="G73" s="12">
        <f>AVERAGE(G3,G7,G11,G15,G19)</f>
        <v>0.15200318287036979</v>
      </c>
      <c r="H73" s="12">
        <f>AVERAGE(H3,H7,H11,H15,H19)</f>
        <v>35.325170135497999</v>
      </c>
      <c r="I73" s="7">
        <f>bdrate($D73:$D76,E73:E76,$G73:$G76,H73:H76)</f>
        <v>0</v>
      </c>
    </row>
    <row r="74" spans="1:9">
      <c r="A74" s="12"/>
      <c r="B74" s="12"/>
      <c r="C74" s="12"/>
      <c r="D74" s="12">
        <f t="shared" ref="D74:E76" si="0">AVERAGE(D4,D8,D12,D16,D20)</f>
        <v>9.3765496399176834E-2</v>
      </c>
      <c r="E74" s="12">
        <f t="shared" si="0"/>
        <v>34.540579223632754</v>
      </c>
      <c r="F74" s="12"/>
      <c r="G74" s="12">
        <f t="shared" ref="G74:H76" si="1">AVERAGE(G4,G8,G12,G16,G20)</f>
        <v>9.3765496399176834E-2</v>
      </c>
      <c r="H74" s="12">
        <f t="shared" si="1"/>
        <v>34.540579223632754</v>
      </c>
    </row>
    <row r="75" spans="1:9">
      <c r="A75" s="12"/>
      <c r="B75" s="12"/>
      <c r="C75" s="12"/>
      <c r="D75" s="12">
        <f t="shared" si="0"/>
        <v>6.1649369855967043E-2</v>
      </c>
      <c r="E75" s="12">
        <f t="shared" si="0"/>
        <v>33.718069458007761</v>
      </c>
      <c r="F75" s="12"/>
      <c r="G75" s="12">
        <f t="shared" si="1"/>
        <v>6.1649369855967043E-2</v>
      </c>
      <c r="H75" s="12">
        <f t="shared" si="1"/>
        <v>33.718069458007761</v>
      </c>
    </row>
    <row r="76" spans="1:9" ht="15" thickBot="1">
      <c r="A76" s="12"/>
      <c r="B76" s="12"/>
      <c r="C76" s="12"/>
      <c r="D76" s="12">
        <f t="shared" si="0"/>
        <v>3.6967174639917659E-2</v>
      </c>
      <c r="E76" s="12">
        <f t="shared" si="0"/>
        <v>32.476005554199176</v>
      </c>
      <c r="F76" s="12"/>
      <c r="G76" s="12">
        <f t="shared" si="1"/>
        <v>3.6967174639917659E-2</v>
      </c>
      <c r="H76" s="12">
        <f t="shared" si="1"/>
        <v>32.476005554199176</v>
      </c>
    </row>
    <row r="77" spans="1:9">
      <c r="A77" s="12"/>
      <c r="B77" s="12" t="s">
        <v>6</v>
      </c>
      <c r="C77" s="12"/>
      <c r="D77" s="12">
        <f>AVERAGE(D23,D27,D31,D35)</f>
        <v>0.30043694911858926</v>
      </c>
      <c r="E77" s="12">
        <f>AVERAGE(E23,E27,E31,E35)</f>
        <v>33.600351333618121</v>
      </c>
      <c r="F77" s="12"/>
      <c r="G77" s="12">
        <f>AVERAGE(G23,G27,G31,G35)</f>
        <v>0.30043694911858926</v>
      </c>
      <c r="H77" s="12">
        <f>AVERAGE(H23,H27,H31,H35)</f>
        <v>33.600351333618121</v>
      </c>
      <c r="I77" s="7">
        <f>bdrate($D77:$D80,E77:E80,$G77:$G80,H77:H80)</f>
        <v>0</v>
      </c>
    </row>
    <row r="78" spans="1:9">
      <c r="A78" s="12"/>
      <c r="B78" s="12"/>
      <c r="C78" s="12"/>
      <c r="D78" s="12">
        <f t="shared" ref="D78:E80" si="2">AVERAGE(D24,D28,D32,D36)</f>
        <v>0.20401600894764899</v>
      </c>
      <c r="E78" s="12">
        <f t="shared" si="2"/>
        <v>32.648040771484354</v>
      </c>
      <c r="F78" s="12"/>
      <c r="G78" s="12">
        <f t="shared" ref="G78:H80" si="3">AVERAGE(G24,G28,G32,G36)</f>
        <v>0.20401600894764899</v>
      </c>
      <c r="H78" s="12">
        <f t="shared" si="3"/>
        <v>32.648040771484354</v>
      </c>
    </row>
    <row r="79" spans="1:9">
      <c r="D79" s="12">
        <f t="shared" si="2"/>
        <v>0.13733577891292692</v>
      </c>
      <c r="E79" s="12">
        <f t="shared" si="2"/>
        <v>31.573012828826872</v>
      </c>
      <c r="G79" s="12">
        <f t="shared" si="3"/>
        <v>0.13733577891292692</v>
      </c>
      <c r="H79" s="12">
        <f t="shared" si="3"/>
        <v>31.573012828826872</v>
      </c>
    </row>
    <row r="80" spans="1:9" ht="15" thickBot="1">
      <c r="D80" s="12">
        <f t="shared" si="2"/>
        <v>8.18307208199784E-2</v>
      </c>
      <c r="E80" s="12">
        <f t="shared" si="2"/>
        <v>29.982616424560497</v>
      </c>
      <c r="G80" s="12">
        <f t="shared" si="3"/>
        <v>8.18307208199784E-2</v>
      </c>
      <c r="H80" s="12">
        <f t="shared" si="3"/>
        <v>29.982616424560497</v>
      </c>
    </row>
    <row r="81" spans="2:9">
      <c r="B81" t="s">
        <v>8</v>
      </c>
      <c r="D81" s="12">
        <f>AVERAGE(D39,D43,D47,D51)</f>
        <v>0.30223273904914472</v>
      </c>
      <c r="E81" s="12">
        <f>AVERAGE(E39,E43,E47,E51)</f>
        <v>33.981930732726994</v>
      </c>
      <c r="G81" s="12">
        <f>AVERAGE(G39,G43,G47,G51)</f>
        <v>0.30223273904914472</v>
      </c>
      <c r="H81" s="12">
        <f>AVERAGE(H39,H43,H47,H51)</f>
        <v>33.981930732726994</v>
      </c>
      <c r="I81" s="7">
        <f>bdrate($D81:$D84,E81:E84,$G81:$G84,H81:H84)</f>
        <v>0</v>
      </c>
    </row>
    <row r="82" spans="2:9">
      <c r="D82" s="12">
        <f t="shared" ref="D82:E84" si="4">AVERAGE(D40,D44,D48,D52)</f>
        <v>0.2051357171474355</v>
      </c>
      <c r="E82" s="12">
        <f t="shared" si="4"/>
        <v>32.800608158111523</v>
      </c>
      <c r="G82" s="12">
        <f t="shared" ref="G82:H84" si="5">AVERAGE(G40,G44,G48,G52)</f>
        <v>0.2051357171474355</v>
      </c>
      <c r="H82" s="12">
        <f t="shared" si="5"/>
        <v>32.800608158111523</v>
      </c>
    </row>
    <row r="83" spans="2:9">
      <c r="D83" s="12">
        <f t="shared" si="4"/>
        <v>0.13919688167735006</v>
      </c>
      <c r="E83" s="12">
        <f t="shared" si="4"/>
        <v>31.512354373931824</v>
      </c>
      <c r="G83" s="12">
        <f t="shared" si="5"/>
        <v>0.13919688167735006</v>
      </c>
      <c r="H83" s="12">
        <f t="shared" si="5"/>
        <v>31.512354373931824</v>
      </c>
    </row>
    <row r="84" spans="2:9" ht="15" thickBot="1">
      <c r="D84" s="12">
        <f t="shared" si="4"/>
        <v>8.2825854700854504E-2</v>
      </c>
      <c r="E84" s="12">
        <f t="shared" si="4"/>
        <v>29.661647796630824</v>
      </c>
      <c r="G84" s="12">
        <f t="shared" si="5"/>
        <v>8.2825854700854504E-2</v>
      </c>
      <c r="H84" s="12">
        <f t="shared" si="5"/>
        <v>29.661647796630824</v>
      </c>
    </row>
    <row r="85" spans="2:9">
      <c r="B85" t="s">
        <v>10</v>
      </c>
      <c r="D85" s="12">
        <f>AVERAGE(D55,D59,D63)</f>
        <v>3.3125964506172799E-2</v>
      </c>
      <c r="E85" s="12">
        <f>AVERAGE(E55,E59,E63)</f>
        <v>38.855997721354129</v>
      </c>
      <c r="G85" s="12">
        <f>AVERAGE(G55,G59,G63)</f>
        <v>3.3125964506172799E-2</v>
      </c>
      <c r="H85" s="12">
        <f>AVERAGE(H55,H59,H63)</f>
        <v>38.855997721354129</v>
      </c>
      <c r="I85" s="7">
        <f>bdrate($D85:$D88,E85:E88,$G85:$G88,H85:H88)</f>
        <v>0</v>
      </c>
    </row>
    <row r="86" spans="2:9">
      <c r="D86" s="12">
        <f t="shared" ref="D86:E88" si="6">AVERAGE(D56,D60,D64)</f>
        <v>2.2436824845678965E-2</v>
      </c>
      <c r="E86" s="12">
        <f t="shared" si="6"/>
        <v>38.241784413655573</v>
      </c>
      <c r="G86" s="12">
        <f t="shared" ref="G86:H88" si="7">AVERAGE(G56,G60,G64)</f>
        <v>2.2436824845678965E-2</v>
      </c>
      <c r="H86" s="12">
        <f t="shared" si="7"/>
        <v>38.241784413655573</v>
      </c>
    </row>
    <row r="87" spans="2:9">
      <c r="D87" s="12">
        <f t="shared" si="6"/>
        <v>1.6360074266975232E-2</v>
      </c>
      <c r="E87" s="12">
        <f t="shared" si="6"/>
        <v>37.539377848307232</v>
      </c>
      <c r="G87" s="12">
        <f t="shared" si="7"/>
        <v>1.6360074266975232E-2</v>
      </c>
      <c r="H87" s="12">
        <f t="shared" si="7"/>
        <v>37.539377848307232</v>
      </c>
    </row>
    <row r="88" spans="2:9">
      <c r="D88" s="12">
        <f t="shared" si="6"/>
        <v>1.1481360918209832E-2</v>
      </c>
      <c r="E88" s="12">
        <f t="shared" si="6"/>
        <v>36.235242207845005</v>
      </c>
      <c r="G88" s="12">
        <f t="shared" si="7"/>
        <v>1.1481360918209832E-2</v>
      </c>
      <c r="H88" s="12">
        <f t="shared" si="7"/>
        <v>36.235242207845005</v>
      </c>
    </row>
  </sheetData>
  <mergeCells count="2">
    <mergeCell ref="D1:E1"/>
    <mergeCell ref="G1:H1"/>
  </mergeCells>
  <phoneticPr fontId="1" type="noConversion"/>
  <conditionalFormatting sqref="I67">
    <cfRule type="cellIs" dxfId="4359" priority="345" operator="greaterThan">
      <formula>0.03</formula>
    </cfRule>
    <cfRule type="cellIs" dxfId="4358" priority="346" stopIfTrue="1" operator="lessThan">
      <formula>-0.03</formula>
    </cfRule>
  </conditionalFormatting>
  <conditionalFormatting sqref="I67">
    <cfRule type="cellIs" dxfId="4357" priority="343" operator="greaterThan">
      <formula>0.03</formula>
    </cfRule>
    <cfRule type="cellIs" dxfId="4356" priority="344" stopIfTrue="1" operator="lessThan">
      <formula>-0.03</formula>
    </cfRule>
  </conditionalFormatting>
  <conditionalFormatting sqref="I67">
    <cfRule type="cellIs" dxfId="4355" priority="341" operator="greaterThan">
      <formula>0.03</formula>
    </cfRule>
    <cfRule type="cellIs" dxfId="4354" priority="342" stopIfTrue="1" operator="lessThan">
      <formula>-0.03</formula>
    </cfRule>
  </conditionalFormatting>
  <conditionalFormatting sqref="I67">
    <cfRule type="cellIs" dxfId="4353" priority="349" operator="greaterThan">
      <formula>0.03</formula>
    </cfRule>
    <cfRule type="cellIs" dxfId="4352" priority="350" stopIfTrue="1" operator="lessThan">
      <formula>-0.03</formula>
    </cfRule>
  </conditionalFormatting>
  <conditionalFormatting sqref="I67">
    <cfRule type="cellIs" dxfId="4351" priority="347" operator="greaterThan">
      <formula>0.03</formula>
    </cfRule>
    <cfRule type="cellIs" dxfId="4350" priority="348" stopIfTrue="1" operator="lessThan">
      <formula>-0.03</formula>
    </cfRule>
  </conditionalFormatting>
  <conditionalFormatting sqref="I12:I14 I16:I18">
    <cfRule type="cellIs" dxfId="4349" priority="329" operator="greaterThan">
      <formula>0.03</formula>
    </cfRule>
    <cfRule type="cellIs" dxfId="4348" priority="330" stopIfTrue="1" operator="lessThan">
      <formula>-0.03</formula>
    </cfRule>
  </conditionalFormatting>
  <conditionalFormatting sqref="I12:I14 I16:I18">
    <cfRule type="cellIs" dxfId="4347" priority="327" operator="greaterThan">
      <formula>0.03</formula>
    </cfRule>
    <cfRule type="cellIs" dxfId="4346" priority="328" stopIfTrue="1" operator="lessThan">
      <formula>-0.03</formula>
    </cfRule>
  </conditionalFormatting>
  <conditionalFormatting sqref="I28:I30">
    <cfRule type="cellIs" dxfId="4345" priority="299" operator="greaterThan">
      <formula>0.03</formula>
    </cfRule>
    <cfRule type="cellIs" dxfId="4344" priority="300" stopIfTrue="1" operator="lessThan">
      <formula>-0.03</formula>
    </cfRule>
  </conditionalFormatting>
  <conditionalFormatting sqref="I28:I30">
    <cfRule type="cellIs" dxfId="4343" priority="297" operator="greaterThan">
      <formula>0.03</formula>
    </cfRule>
    <cfRule type="cellIs" dxfId="4342" priority="298" stopIfTrue="1" operator="lessThan">
      <formula>-0.03</formula>
    </cfRule>
  </conditionalFormatting>
  <conditionalFormatting sqref="I28:I30">
    <cfRule type="cellIs" dxfId="4341" priority="295" operator="greaterThan">
      <formula>0.03</formula>
    </cfRule>
    <cfRule type="cellIs" dxfId="4340" priority="296" stopIfTrue="1" operator="lessThan">
      <formula>-0.03</formula>
    </cfRule>
  </conditionalFormatting>
  <conditionalFormatting sqref="I28:I30">
    <cfRule type="cellIs" dxfId="4339" priority="293" operator="greaterThan">
      <formula>0.03</formula>
    </cfRule>
    <cfRule type="cellIs" dxfId="4338" priority="294" stopIfTrue="1" operator="lessThan">
      <formula>-0.03</formula>
    </cfRule>
  </conditionalFormatting>
  <conditionalFormatting sqref="I28:I30">
    <cfRule type="cellIs" dxfId="4337" priority="291" operator="greaterThan">
      <formula>0.03</formula>
    </cfRule>
    <cfRule type="cellIs" dxfId="4336" priority="292" stopIfTrue="1" operator="lessThan">
      <formula>-0.03</formula>
    </cfRule>
  </conditionalFormatting>
  <conditionalFormatting sqref="I20:I22">
    <cfRule type="cellIs" dxfId="4335" priority="335" operator="greaterThan">
      <formula>0.03</formula>
    </cfRule>
    <cfRule type="cellIs" dxfId="4334" priority="336" stopIfTrue="1" operator="lessThan">
      <formula>-0.03</formula>
    </cfRule>
  </conditionalFormatting>
  <conditionalFormatting sqref="I19">
    <cfRule type="cellIs" dxfId="4333" priority="309" operator="greaterThan">
      <formula>0.03</formula>
    </cfRule>
    <cfRule type="cellIs" dxfId="4332" priority="310" stopIfTrue="1" operator="lessThan">
      <formula>-0.03</formula>
    </cfRule>
  </conditionalFormatting>
  <conditionalFormatting sqref="I19">
    <cfRule type="cellIs" dxfId="4331" priority="307" operator="greaterThan">
      <formula>0.03</formula>
    </cfRule>
    <cfRule type="cellIs" dxfId="4330" priority="308" stopIfTrue="1" operator="lessThan">
      <formula>-0.03</formula>
    </cfRule>
  </conditionalFormatting>
  <conditionalFormatting sqref="I19">
    <cfRule type="cellIs" dxfId="4329" priority="305" operator="greaterThan">
      <formula>0.03</formula>
    </cfRule>
    <cfRule type="cellIs" dxfId="4328" priority="306" stopIfTrue="1" operator="lessThan">
      <formula>-0.03</formula>
    </cfRule>
  </conditionalFormatting>
  <conditionalFormatting sqref="I19">
    <cfRule type="cellIs" dxfId="4327" priority="303" operator="greaterThan">
      <formula>0.03</formula>
    </cfRule>
    <cfRule type="cellIs" dxfId="4326" priority="304" stopIfTrue="1" operator="lessThan">
      <formula>-0.03</formula>
    </cfRule>
  </conditionalFormatting>
  <conditionalFormatting sqref="I19">
    <cfRule type="cellIs" dxfId="4325" priority="301" operator="greaterThan">
      <formula>0.03</formula>
    </cfRule>
    <cfRule type="cellIs" dxfId="4324" priority="302" stopIfTrue="1" operator="lessThan">
      <formula>-0.03</formula>
    </cfRule>
  </conditionalFormatting>
  <conditionalFormatting sqref="I20:I22">
    <cfRule type="cellIs" dxfId="4323" priority="339" operator="greaterThan">
      <formula>0.03</formula>
    </cfRule>
    <cfRule type="cellIs" dxfId="4322" priority="340" stopIfTrue="1" operator="lessThan">
      <formula>-0.03</formula>
    </cfRule>
  </conditionalFormatting>
  <conditionalFormatting sqref="I20:I22">
    <cfRule type="cellIs" dxfId="4321" priority="337" operator="greaterThan">
      <formula>0.03</formula>
    </cfRule>
    <cfRule type="cellIs" dxfId="4320" priority="338" stopIfTrue="1" operator="lessThan">
      <formula>-0.03</formula>
    </cfRule>
  </conditionalFormatting>
  <conditionalFormatting sqref="I12:I14 I16:I18">
    <cfRule type="cellIs" dxfId="4319" priority="325" operator="greaterThan">
      <formula>0.03</formula>
    </cfRule>
    <cfRule type="cellIs" dxfId="4318" priority="326" stopIfTrue="1" operator="lessThan">
      <formula>-0.03</formula>
    </cfRule>
  </conditionalFormatting>
  <conditionalFormatting sqref="I20:I22">
    <cfRule type="cellIs" dxfId="4317" priority="333" operator="greaterThan">
      <formula>0.03</formula>
    </cfRule>
    <cfRule type="cellIs" dxfId="4316" priority="334" stopIfTrue="1" operator="lessThan">
      <formula>-0.03</formula>
    </cfRule>
  </conditionalFormatting>
  <conditionalFormatting sqref="I20:I22">
    <cfRule type="cellIs" dxfId="4315" priority="331" operator="greaterThan">
      <formula>0.03</formula>
    </cfRule>
    <cfRule type="cellIs" dxfId="4314" priority="332" stopIfTrue="1" operator="lessThan">
      <formula>-0.03</formula>
    </cfRule>
  </conditionalFormatting>
  <conditionalFormatting sqref="I12:I14 I16:I18">
    <cfRule type="cellIs" dxfId="4313" priority="321" operator="greaterThan">
      <formula>0.03</formula>
    </cfRule>
    <cfRule type="cellIs" dxfId="4312" priority="322" stopIfTrue="1" operator="lessThan">
      <formula>-0.03</formula>
    </cfRule>
  </conditionalFormatting>
  <conditionalFormatting sqref="I12:I14 I16:I18">
    <cfRule type="cellIs" dxfId="4311" priority="323" operator="greaterThan">
      <formula>0.03</formula>
    </cfRule>
    <cfRule type="cellIs" dxfId="4310" priority="324" stopIfTrue="1" operator="lessThan">
      <formula>-0.03</formula>
    </cfRule>
  </conditionalFormatting>
  <conditionalFormatting sqref="I11">
    <cfRule type="cellIs" dxfId="4309" priority="319" operator="greaterThan">
      <formula>0.03</formula>
    </cfRule>
    <cfRule type="cellIs" dxfId="4308" priority="320" stopIfTrue="1" operator="lessThan">
      <formula>-0.03</formula>
    </cfRule>
  </conditionalFormatting>
  <conditionalFormatting sqref="I11">
    <cfRule type="cellIs" dxfId="4307" priority="317" operator="greaterThan">
      <formula>0.03</formula>
    </cfRule>
    <cfRule type="cellIs" dxfId="4306" priority="318" stopIfTrue="1" operator="lessThan">
      <formula>-0.03</formula>
    </cfRule>
  </conditionalFormatting>
  <conditionalFormatting sqref="I11">
    <cfRule type="cellIs" dxfId="4305" priority="315" operator="greaterThan">
      <formula>0.03</formula>
    </cfRule>
    <cfRule type="cellIs" dxfId="4304" priority="316" stopIfTrue="1" operator="lessThan">
      <formula>-0.03</formula>
    </cfRule>
  </conditionalFormatting>
  <conditionalFormatting sqref="I11">
    <cfRule type="cellIs" dxfId="4303" priority="313" operator="greaterThan">
      <formula>0.03</formula>
    </cfRule>
    <cfRule type="cellIs" dxfId="4302" priority="314" stopIfTrue="1" operator="lessThan">
      <formula>-0.03</formula>
    </cfRule>
  </conditionalFormatting>
  <conditionalFormatting sqref="I11">
    <cfRule type="cellIs" dxfId="4301" priority="311" operator="greaterThan">
      <formula>0.03</formula>
    </cfRule>
    <cfRule type="cellIs" dxfId="4300" priority="312" stopIfTrue="1" operator="lessThan">
      <formula>-0.03</formula>
    </cfRule>
  </conditionalFormatting>
  <conditionalFormatting sqref="I24:I26">
    <cfRule type="cellIs" dxfId="4299" priority="289" operator="greaterThan">
      <formula>0.03</formula>
    </cfRule>
    <cfRule type="cellIs" dxfId="4298" priority="290" stopIfTrue="1" operator="lessThan">
      <formula>-0.03</formula>
    </cfRule>
  </conditionalFormatting>
  <conditionalFormatting sqref="I24:I26">
    <cfRule type="cellIs" dxfId="4297" priority="287" operator="greaterThan">
      <formula>0.03</formula>
    </cfRule>
    <cfRule type="cellIs" dxfId="4296" priority="288" stopIfTrue="1" operator="lessThan">
      <formula>-0.03</formula>
    </cfRule>
  </conditionalFormatting>
  <conditionalFormatting sqref="I27">
    <cfRule type="cellIs" dxfId="4295" priority="269" operator="greaterThan">
      <formula>0.03</formula>
    </cfRule>
    <cfRule type="cellIs" dxfId="4294" priority="270" stopIfTrue="1" operator="lessThan">
      <formula>-0.03</formula>
    </cfRule>
  </conditionalFormatting>
  <conditionalFormatting sqref="I27">
    <cfRule type="cellIs" dxfId="4293" priority="267" operator="greaterThan">
      <formula>0.03</formula>
    </cfRule>
    <cfRule type="cellIs" dxfId="4292" priority="268" stopIfTrue="1" operator="lessThan">
      <formula>-0.03</formula>
    </cfRule>
  </conditionalFormatting>
  <conditionalFormatting sqref="I27">
    <cfRule type="cellIs" dxfId="4291" priority="265" operator="greaterThan">
      <formula>0.03</formula>
    </cfRule>
    <cfRule type="cellIs" dxfId="4290" priority="266" stopIfTrue="1" operator="lessThan">
      <formula>-0.03</formula>
    </cfRule>
  </conditionalFormatting>
  <conditionalFormatting sqref="I27">
    <cfRule type="cellIs" dxfId="4289" priority="263" operator="greaterThan">
      <formula>0.03</formula>
    </cfRule>
    <cfRule type="cellIs" dxfId="4288" priority="264" stopIfTrue="1" operator="lessThan">
      <formula>-0.03</formula>
    </cfRule>
  </conditionalFormatting>
  <conditionalFormatting sqref="I27">
    <cfRule type="cellIs" dxfId="4287" priority="261" operator="greaterThan">
      <formula>0.03</formula>
    </cfRule>
    <cfRule type="cellIs" dxfId="4286" priority="262" stopIfTrue="1" operator="lessThan">
      <formula>-0.03</formula>
    </cfRule>
  </conditionalFormatting>
  <conditionalFormatting sqref="I24:I26">
    <cfRule type="cellIs" dxfId="4285" priority="285" operator="greaterThan">
      <formula>0.03</formula>
    </cfRule>
    <cfRule type="cellIs" dxfId="4284" priority="286" stopIfTrue="1" operator="lessThan">
      <formula>-0.03</formula>
    </cfRule>
  </conditionalFormatting>
  <conditionalFormatting sqref="I24:I26">
    <cfRule type="cellIs" dxfId="4283" priority="281" operator="greaterThan">
      <formula>0.03</formula>
    </cfRule>
    <cfRule type="cellIs" dxfId="4282" priority="282" stopIfTrue="1" operator="lessThan">
      <formula>-0.03</formula>
    </cfRule>
  </conditionalFormatting>
  <conditionalFormatting sqref="I24:I26">
    <cfRule type="cellIs" dxfId="4281" priority="283" operator="greaterThan">
      <formula>0.03</formula>
    </cfRule>
    <cfRule type="cellIs" dxfId="4280" priority="284" stopIfTrue="1" operator="lessThan">
      <formula>-0.03</formula>
    </cfRule>
  </conditionalFormatting>
  <conditionalFormatting sqref="I23">
    <cfRule type="cellIs" dxfId="4279" priority="279" operator="greaterThan">
      <formula>0.03</formula>
    </cfRule>
    <cfRule type="cellIs" dxfId="4278" priority="280" stopIfTrue="1" operator="lessThan">
      <formula>-0.03</formula>
    </cfRule>
  </conditionalFormatting>
  <conditionalFormatting sqref="I23">
    <cfRule type="cellIs" dxfId="4277" priority="277" operator="greaterThan">
      <formula>0.03</formula>
    </cfRule>
    <cfRule type="cellIs" dxfId="4276" priority="278" stopIfTrue="1" operator="lessThan">
      <formula>-0.03</formula>
    </cfRule>
  </conditionalFormatting>
  <conditionalFormatting sqref="I23">
    <cfRule type="cellIs" dxfId="4275" priority="275" operator="greaterThan">
      <formula>0.03</formula>
    </cfRule>
    <cfRule type="cellIs" dxfId="4274" priority="276" stopIfTrue="1" operator="lessThan">
      <formula>-0.03</formula>
    </cfRule>
  </conditionalFormatting>
  <conditionalFormatting sqref="I23">
    <cfRule type="cellIs" dxfId="4273" priority="273" operator="greaterThan">
      <formula>0.03</formula>
    </cfRule>
    <cfRule type="cellIs" dxfId="4272" priority="274" stopIfTrue="1" operator="lessThan">
      <formula>-0.03</formula>
    </cfRule>
  </conditionalFormatting>
  <conditionalFormatting sqref="I23">
    <cfRule type="cellIs" dxfId="4271" priority="271" operator="greaterThan">
      <formula>0.03</formula>
    </cfRule>
    <cfRule type="cellIs" dxfId="4270" priority="272" stopIfTrue="1" operator="lessThan">
      <formula>-0.03</formula>
    </cfRule>
  </conditionalFormatting>
  <conditionalFormatting sqref="I44:I46">
    <cfRule type="cellIs" dxfId="4269" priority="259" operator="greaterThan">
      <formula>0.03</formula>
    </cfRule>
    <cfRule type="cellIs" dxfId="4268" priority="260" stopIfTrue="1" operator="lessThan">
      <formula>-0.03</formula>
    </cfRule>
  </conditionalFormatting>
  <conditionalFormatting sqref="I44:I46">
    <cfRule type="cellIs" dxfId="4267" priority="257" operator="greaterThan">
      <formula>0.03</formula>
    </cfRule>
    <cfRule type="cellIs" dxfId="4266" priority="258" stopIfTrue="1" operator="lessThan">
      <formula>-0.03</formula>
    </cfRule>
  </conditionalFormatting>
  <conditionalFormatting sqref="I44:I46">
    <cfRule type="cellIs" dxfId="4265" priority="255" operator="greaterThan">
      <formula>0.03</formula>
    </cfRule>
    <cfRule type="cellIs" dxfId="4264" priority="256" stopIfTrue="1" operator="lessThan">
      <formula>-0.03</formula>
    </cfRule>
  </conditionalFormatting>
  <conditionalFormatting sqref="I44:I46">
    <cfRule type="cellIs" dxfId="4263" priority="253" operator="greaterThan">
      <formula>0.03</formula>
    </cfRule>
    <cfRule type="cellIs" dxfId="4262" priority="254" stopIfTrue="1" operator="lessThan">
      <formula>-0.03</formula>
    </cfRule>
  </conditionalFormatting>
  <conditionalFormatting sqref="I44:I46">
    <cfRule type="cellIs" dxfId="4261" priority="251" operator="greaterThan">
      <formula>0.03</formula>
    </cfRule>
    <cfRule type="cellIs" dxfId="4260" priority="252" stopIfTrue="1" operator="lessThan">
      <formula>-0.03</formula>
    </cfRule>
  </conditionalFormatting>
  <conditionalFormatting sqref="I40:I42">
    <cfRule type="cellIs" dxfId="4259" priority="249" operator="greaterThan">
      <formula>0.03</formula>
    </cfRule>
    <cfRule type="cellIs" dxfId="4258" priority="250" stopIfTrue="1" operator="lessThan">
      <formula>-0.03</formula>
    </cfRule>
  </conditionalFormatting>
  <conditionalFormatting sqref="I40:I42">
    <cfRule type="cellIs" dxfId="4257" priority="247" operator="greaterThan">
      <formula>0.03</formula>
    </cfRule>
    <cfRule type="cellIs" dxfId="4256" priority="248" stopIfTrue="1" operator="lessThan">
      <formula>-0.03</formula>
    </cfRule>
  </conditionalFormatting>
  <conditionalFormatting sqref="I43">
    <cfRule type="cellIs" dxfId="4255" priority="229" operator="greaterThan">
      <formula>0.03</formula>
    </cfRule>
    <cfRule type="cellIs" dxfId="4254" priority="230" stopIfTrue="1" operator="lessThan">
      <formula>-0.03</formula>
    </cfRule>
  </conditionalFormatting>
  <conditionalFormatting sqref="I43">
    <cfRule type="cellIs" dxfId="4253" priority="227" operator="greaterThan">
      <formula>0.03</formula>
    </cfRule>
    <cfRule type="cellIs" dxfId="4252" priority="228" stopIfTrue="1" operator="lessThan">
      <formula>-0.03</formula>
    </cfRule>
  </conditionalFormatting>
  <conditionalFormatting sqref="I43">
    <cfRule type="cellIs" dxfId="4251" priority="225" operator="greaterThan">
      <formula>0.03</formula>
    </cfRule>
    <cfRule type="cellIs" dxfId="4250" priority="226" stopIfTrue="1" operator="lessThan">
      <formula>-0.03</formula>
    </cfRule>
  </conditionalFormatting>
  <conditionalFormatting sqref="I43">
    <cfRule type="cellIs" dxfId="4249" priority="223" operator="greaterThan">
      <formula>0.03</formula>
    </cfRule>
    <cfRule type="cellIs" dxfId="4248" priority="224" stopIfTrue="1" operator="lessThan">
      <formula>-0.03</formula>
    </cfRule>
  </conditionalFormatting>
  <conditionalFormatting sqref="I43">
    <cfRule type="cellIs" dxfId="4247" priority="221" operator="greaterThan">
      <formula>0.03</formula>
    </cfRule>
    <cfRule type="cellIs" dxfId="4246" priority="222" stopIfTrue="1" operator="lessThan">
      <formula>-0.03</formula>
    </cfRule>
  </conditionalFormatting>
  <conditionalFormatting sqref="I40:I42">
    <cfRule type="cellIs" dxfId="4245" priority="245" operator="greaterThan">
      <formula>0.03</formula>
    </cfRule>
    <cfRule type="cellIs" dxfId="4244" priority="246" stopIfTrue="1" operator="lessThan">
      <formula>-0.03</formula>
    </cfRule>
  </conditionalFormatting>
  <conditionalFormatting sqref="I40:I42">
    <cfRule type="cellIs" dxfId="4243" priority="241" operator="greaterThan">
      <formula>0.03</formula>
    </cfRule>
    <cfRule type="cellIs" dxfId="4242" priority="242" stopIfTrue="1" operator="lessThan">
      <formula>-0.03</formula>
    </cfRule>
  </conditionalFormatting>
  <conditionalFormatting sqref="I40:I42">
    <cfRule type="cellIs" dxfId="4241" priority="243" operator="greaterThan">
      <formula>0.03</formula>
    </cfRule>
    <cfRule type="cellIs" dxfId="4240" priority="244" stopIfTrue="1" operator="lessThan">
      <formula>-0.03</formula>
    </cfRule>
  </conditionalFormatting>
  <conditionalFormatting sqref="I39">
    <cfRule type="cellIs" dxfId="4239" priority="239" operator="greaterThan">
      <formula>0.03</formula>
    </cfRule>
    <cfRule type="cellIs" dxfId="4238" priority="240" stopIfTrue="1" operator="lessThan">
      <formula>-0.03</formula>
    </cfRule>
  </conditionalFormatting>
  <conditionalFormatting sqref="I39">
    <cfRule type="cellIs" dxfId="4237" priority="237" operator="greaterThan">
      <formula>0.03</formula>
    </cfRule>
    <cfRule type="cellIs" dxfId="4236" priority="238" stopIfTrue="1" operator="lessThan">
      <formula>-0.03</formula>
    </cfRule>
  </conditionalFormatting>
  <conditionalFormatting sqref="I39">
    <cfRule type="cellIs" dxfId="4235" priority="235" operator="greaterThan">
      <formula>0.03</formula>
    </cfRule>
    <cfRule type="cellIs" dxfId="4234" priority="236" stopIfTrue="1" operator="lessThan">
      <formula>-0.03</formula>
    </cfRule>
  </conditionalFormatting>
  <conditionalFormatting sqref="I39">
    <cfRule type="cellIs" dxfId="4233" priority="233" operator="greaterThan">
      <formula>0.03</formula>
    </cfRule>
    <cfRule type="cellIs" dxfId="4232" priority="234" stopIfTrue="1" operator="lessThan">
      <formula>-0.03</formula>
    </cfRule>
  </conditionalFormatting>
  <conditionalFormatting sqref="I39">
    <cfRule type="cellIs" dxfId="4231" priority="231" operator="greaterThan">
      <formula>0.03</formula>
    </cfRule>
    <cfRule type="cellIs" dxfId="4230" priority="232" stopIfTrue="1" operator="lessThan">
      <formula>-0.03</formula>
    </cfRule>
  </conditionalFormatting>
  <conditionalFormatting sqref="I64:I66">
    <cfRule type="cellIs" dxfId="4229" priority="219" operator="greaterThan">
      <formula>0.03</formula>
    </cfRule>
    <cfRule type="cellIs" dxfId="4228" priority="220" stopIfTrue="1" operator="lessThan">
      <formula>-0.03</formula>
    </cfRule>
  </conditionalFormatting>
  <conditionalFormatting sqref="I64:I66">
    <cfRule type="cellIs" dxfId="4227" priority="217" operator="greaterThan">
      <formula>0.03</formula>
    </cfRule>
    <cfRule type="cellIs" dxfId="4226" priority="218" stopIfTrue="1" operator="lessThan">
      <formula>-0.03</formula>
    </cfRule>
  </conditionalFormatting>
  <conditionalFormatting sqref="I64:I66">
    <cfRule type="cellIs" dxfId="4225" priority="215" operator="greaterThan">
      <formula>0.03</formula>
    </cfRule>
    <cfRule type="cellIs" dxfId="4224" priority="216" stopIfTrue="1" operator="lessThan">
      <formula>-0.03</formula>
    </cfRule>
  </conditionalFormatting>
  <conditionalFormatting sqref="I64:I66">
    <cfRule type="cellIs" dxfId="4223" priority="213" operator="greaterThan">
      <formula>0.03</formula>
    </cfRule>
    <cfRule type="cellIs" dxfId="4222" priority="214" stopIfTrue="1" operator="lessThan">
      <formula>-0.03</formula>
    </cfRule>
  </conditionalFormatting>
  <conditionalFormatting sqref="I64:I66">
    <cfRule type="cellIs" dxfId="4221" priority="211" operator="greaterThan">
      <formula>0.03</formula>
    </cfRule>
    <cfRule type="cellIs" dxfId="4220" priority="212" stopIfTrue="1" operator="lessThan">
      <formula>-0.03</formula>
    </cfRule>
  </conditionalFormatting>
  <conditionalFormatting sqref="I56:I58">
    <cfRule type="cellIs" dxfId="4219" priority="209" operator="greaterThan">
      <formula>0.03</formula>
    </cfRule>
    <cfRule type="cellIs" dxfId="4218" priority="210" stopIfTrue="1" operator="lessThan">
      <formula>-0.03</formula>
    </cfRule>
  </conditionalFormatting>
  <conditionalFormatting sqref="I56:I58">
    <cfRule type="cellIs" dxfId="4217" priority="207" operator="greaterThan">
      <formula>0.03</formula>
    </cfRule>
    <cfRule type="cellIs" dxfId="4216" priority="208" stopIfTrue="1" operator="lessThan">
      <formula>-0.03</formula>
    </cfRule>
  </conditionalFormatting>
  <conditionalFormatting sqref="I63">
    <cfRule type="cellIs" dxfId="4215" priority="189" operator="greaterThan">
      <formula>0.03</formula>
    </cfRule>
    <cfRule type="cellIs" dxfId="4214" priority="190" stopIfTrue="1" operator="lessThan">
      <formula>-0.03</formula>
    </cfRule>
  </conditionalFormatting>
  <conditionalFormatting sqref="I63">
    <cfRule type="cellIs" dxfId="4213" priority="187" operator="greaterThan">
      <formula>0.03</formula>
    </cfRule>
    <cfRule type="cellIs" dxfId="4212" priority="188" stopIfTrue="1" operator="lessThan">
      <formula>-0.03</formula>
    </cfRule>
  </conditionalFormatting>
  <conditionalFormatting sqref="I63">
    <cfRule type="cellIs" dxfId="4211" priority="185" operator="greaterThan">
      <formula>0.03</formula>
    </cfRule>
    <cfRule type="cellIs" dxfId="4210" priority="186" stopIfTrue="1" operator="lessThan">
      <formula>-0.03</formula>
    </cfRule>
  </conditionalFormatting>
  <conditionalFormatting sqref="I63">
    <cfRule type="cellIs" dxfId="4209" priority="183" operator="greaterThan">
      <formula>0.03</formula>
    </cfRule>
    <cfRule type="cellIs" dxfId="4208" priority="184" stopIfTrue="1" operator="lessThan">
      <formula>-0.03</formula>
    </cfRule>
  </conditionalFormatting>
  <conditionalFormatting sqref="I63">
    <cfRule type="cellIs" dxfId="4207" priority="181" operator="greaterThan">
      <formula>0.03</formula>
    </cfRule>
    <cfRule type="cellIs" dxfId="4206" priority="182" stopIfTrue="1" operator="lessThan">
      <formula>-0.03</formula>
    </cfRule>
  </conditionalFormatting>
  <conditionalFormatting sqref="I56:I58">
    <cfRule type="cellIs" dxfId="4205" priority="205" operator="greaterThan">
      <formula>0.03</formula>
    </cfRule>
    <cfRule type="cellIs" dxfId="4204" priority="206" stopIfTrue="1" operator="lessThan">
      <formula>-0.03</formula>
    </cfRule>
  </conditionalFormatting>
  <conditionalFormatting sqref="I56:I58">
    <cfRule type="cellIs" dxfId="4203" priority="201" operator="greaterThan">
      <formula>0.03</formula>
    </cfRule>
    <cfRule type="cellIs" dxfId="4202" priority="202" stopIfTrue="1" operator="lessThan">
      <formula>-0.03</formula>
    </cfRule>
  </conditionalFormatting>
  <conditionalFormatting sqref="I56:I58">
    <cfRule type="cellIs" dxfId="4201" priority="203" operator="greaterThan">
      <formula>0.03</formula>
    </cfRule>
    <cfRule type="cellIs" dxfId="4200" priority="204" stopIfTrue="1" operator="lessThan">
      <formula>-0.03</formula>
    </cfRule>
  </conditionalFormatting>
  <conditionalFormatting sqref="I55">
    <cfRule type="cellIs" dxfId="4199" priority="199" operator="greaterThan">
      <formula>0.03</formula>
    </cfRule>
    <cfRule type="cellIs" dxfId="4198" priority="200" stopIfTrue="1" operator="lessThan">
      <formula>-0.03</formula>
    </cfRule>
  </conditionalFormatting>
  <conditionalFormatting sqref="I55">
    <cfRule type="cellIs" dxfId="4197" priority="197" operator="greaterThan">
      <formula>0.03</formula>
    </cfRule>
    <cfRule type="cellIs" dxfId="4196" priority="198" stopIfTrue="1" operator="lessThan">
      <formula>-0.03</formula>
    </cfRule>
  </conditionalFormatting>
  <conditionalFormatting sqref="I55">
    <cfRule type="cellIs" dxfId="4195" priority="195" operator="greaterThan">
      <formula>0.03</formula>
    </cfRule>
    <cfRule type="cellIs" dxfId="4194" priority="196" stopIfTrue="1" operator="lessThan">
      <formula>-0.03</formula>
    </cfRule>
  </conditionalFormatting>
  <conditionalFormatting sqref="I55">
    <cfRule type="cellIs" dxfId="4193" priority="193" operator="greaterThan">
      <formula>0.03</formula>
    </cfRule>
    <cfRule type="cellIs" dxfId="4192" priority="194" stopIfTrue="1" operator="lessThan">
      <formula>-0.03</formula>
    </cfRule>
  </conditionalFormatting>
  <conditionalFormatting sqref="I55">
    <cfRule type="cellIs" dxfId="4191" priority="191" operator="greaterThan">
      <formula>0.03</formula>
    </cfRule>
    <cfRule type="cellIs" dxfId="4190" priority="192" stopIfTrue="1" operator="lessThan">
      <formula>-0.03</formula>
    </cfRule>
  </conditionalFormatting>
  <conditionalFormatting sqref="I36:I38">
    <cfRule type="cellIs" dxfId="4189" priority="179" operator="greaterThan">
      <formula>0.03</formula>
    </cfRule>
    <cfRule type="cellIs" dxfId="4188" priority="180" stopIfTrue="1" operator="lessThan">
      <formula>-0.03</formula>
    </cfRule>
  </conditionalFormatting>
  <conditionalFormatting sqref="I36:I38">
    <cfRule type="cellIs" dxfId="4187" priority="177" operator="greaterThan">
      <formula>0.03</formula>
    </cfRule>
    <cfRule type="cellIs" dxfId="4186" priority="178" stopIfTrue="1" operator="lessThan">
      <formula>-0.03</formula>
    </cfRule>
  </conditionalFormatting>
  <conditionalFormatting sqref="I36:I38">
    <cfRule type="cellIs" dxfId="4185" priority="175" operator="greaterThan">
      <formula>0.03</formula>
    </cfRule>
    <cfRule type="cellIs" dxfId="4184" priority="176" stopIfTrue="1" operator="lessThan">
      <formula>-0.03</formula>
    </cfRule>
  </conditionalFormatting>
  <conditionalFormatting sqref="I36:I38">
    <cfRule type="cellIs" dxfId="4183" priority="173" operator="greaterThan">
      <formula>0.03</formula>
    </cfRule>
    <cfRule type="cellIs" dxfId="4182" priority="174" stopIfTrue="1" operator="lessThan">
      <formula>-0.03</formula>
    </cfRule>
  </conditionalFormatting>
  <conditionalFormatting sqref="I36:I38">
    <cfRule type="cellIs" dxfId="4181" priority="171" operator="greaterThan">
      <formula>0.03</formula>
    </cfRule>
    <cfRule type="cellIs" dxfId="4180" priority="172" stopIfTrue="1" operator="lessThan">
      <formula>-0.03</formula>
    </cfRule>
  </conditionalFormatting>
  <conditionalFormatting sqref="I32:I34">
    <cfRule type="cellIs" dxfId="4179" priority="169" operator="greaterThan">
      <formula>0.03</formula>
    </cfRule>
    <cfRule type="cellIs" dxfId="4178" priority="170" stopIfTrue="1" operator="lessThan">
      <formula>-0.03</formula>
    </cfRule>
  </conditionalFormatting>
  <conditionalFormatting sqref="I32:I34">
    <cfRule type="cellIs" dxfId="4177" priority="167" operator="greaterThan">
      <formula>0.03</formula>
    </cfRule>
    <cfRule type="cellIs" dxfId="4176" priority="168" stopIfTrue="1" operator="lessThan">
      <formula>-0.03</formula>
    </cfRule>
  </conditionalFormatting>
  <conditionalFormatting sqref="I35">
    <cfRule type="cellIs" dxfId="4175" priority="149" operator="greaterThan">
      <formula>0.03</formula>
    </cfRule>
    <cfRule type="cellIs" dxfId="4174" priority="150" stopIfTrue="1" operator="lessThan">
      <formula>-0.03</formula>
    </cfRule>
  </conditionalFormatting>
  <conditionalFormatting sqref="I35">
    <cfRule type="cellIs" dxfId="4173" priority="147" operator="greaterThan">
      <formula>0.03</formula>
    </cfRule>
    <cfRule type="cellIs" dxfId="4172" priority="148" stopIfTrue="1" operator="lessThan">
      <formula>-0.03</formula>
    </cfRule>
  </conditionalFormatting>
  <conditionalFormatting sqref="I35">
    <cfRule type="cellIs" dxfId="4171" priority="145" operator="greaterThan">
      <formula>0.03</formula>
    </cfRule>
    <cfRule type="cellIs" dxfId="4170" priority="146" stopIfTrue="1" operator="lessThan">
      <formula>-0.03</formula>
    </cfRule>
  </conditionalFormatting>
  <conditionalFormatting sqref="I35">
    <cfRule type="cellIs" dxfId="4169" priority="143" operator="greaterThan">
      <formula>0.03</formula>
    </cfRule>
    <cfRule type="cellIs" dxfId="4168" priority="144" stopIfTrue="1" operator="lessThan">
      <formula>-0.03</formula>
    </cfRule>
  </conditionalFormatting>
  <conditionalFormatting sqref="I35">
    <cfRule type="cellIs" dxfId="4167" priority="141" operator="greaterThan">
      <formula>0.03</formula>
    </cfRule>
    <cfRule type="cellIs" dxfId="4166" priority="142" stopIfTrue="1" operator="lessThan">
      <formula>-0.03</formula>
    </cfRule>
  </conditionalFormatting>
  <conditionalFormatting sqref="I32:I34">
    <cfRule type="cellIs" dxfId="4165" priority="165" operator="greaterThan">
      <formula>0.03</formula>
    </cfRule>
    <cfRule type="cellIs" dxfId="4164" priority="166" stopIfTrue="1" operator="lessThan">
      <formula>-0.03</formula>
    </cfRule>
  </conditionalFormatting>
  <conditionalFormatting sqref="I32:I34">
    <cfRule type="cellIs" dxfId="4163" priority="161" operator="greaterThan">
      <formula>0.03</formula>
    </cfRule>
    <cfRule type="cellIs" dxfId="4162" priority="162" stopIfTrue="1" operator="lessThan">
      <formula>-0.03</formula>
    </cfRule>
  </conditionalFormatting>
  <conditionalFormatting sqref="I32:I34">
    <cfRule type="cellIs" dxfId="4161" priority="163" operator="greaterThan">
      <formula>0.03</formula>
    </cfRule>
    <cfRule type="cellIs" dxfId="4160" priority="164" stopIfTrue="1" operator="lessThan">
      <formula>-0.03</formula>
    </cfRule>
  </conditionalFormatting>
  <conditionalFormatting sqref="I31">
    <cfRule type="cellIs" dxfId="4159" priority="159" operator="greaterThan">
      <formula>0.03</formula>
    </cfRule>
    <cfRule type="cellIs" dxfId="4158" priority="160" stopIfTrue="1" operator="lessThan">
      <formula>-0.03</formula>
    </cfRule>
  </conditionalFormatting>
  <conditionalFormatting sqref="I31">
    <cfRule type="cellIs" dxfId="4157" priority="157" operator="greaterThan">
      <formula>0.03</formula>
    </cfRule>
    <cfRule type="cellIs" dxfId="4156" priority="158" stopIfTrue="1" operator="lessThan">
      <formula>-0.03</formula>
    </cfRule>
  </conditionalFormatting>
  <conditionalFormatting sqref="I31">
    <cfRule type="cellIs" dxfId="4155" priority="155" operator="greaterThan">
      <formula>0.03</formula>
    </cfRule>
    <cfRule type="cellIs" dxfId="4154" priority="156" stopIfTrue="1" operator="lessThan">
      <formula>-0.03</formula>
    </cfRule>
  </conditionalFormatting>
  <conditionalFormatting sqref="I31">
    <cfRule type="cellIs" dxfId="4153" priority="153" operator="greaterThan">
      <formula>0.03</formula>
    </cfRule>
    <cfRule type="cellIs" dxfId="4152" priority="154" stopIfTrue="1" operator="lessThan">
      <formula>-0.03</formula>
    </cfRule>
  </conditionalFormatting>
  <conditionalFormatting sqref="I31">
    <cfRule type="cellIs" dxfId="4151" priority="151" operator="greaterThan">
      <formula>0.03</formula>
    </cfRule>
    <cfRule type="cellIs" dxfId="4150" priority="152" stopIfTrue="1" operator="lessThan">
      <formula>-0.03</formula>
    </cfRule>
  </conditionalFormatting>
  <conditionalFormatting sqref="I52:I54">
    <cfRule type="cellIs" dxfId="4149" priority="139" operator="greaterThan">
      <formula>0.03</formula>
    </cfRule>
    <cfRule type="cellIs" dxfId="4148" priority="140" stopIfTrue="1" operator="lessThan">
      <formula>-0.03</formula>
    </cfRule>
  </conditionalFormatting>
  <conditionalFormatting sqref="I52:I54">
    <cfRule type="cellIs" dxfId="4147" priority="137" operator="greaterThan">
      <formula>0.03</formula>
    </cfRule>
    <cfRule type="cellIs" dxfId="4146" priority="138" stopIfTrue="1" operator="lessThan">
      <formula>-0.03</formula>
    </cfRule>
  </conditionalFormatting>
  <conditionalFormatting sqref="I52:I54">
    <cfRule type="cellIs" dxfId="4145" priority="135" operator="greaterThan">
      <formula>0.03</formula>
    </cfRule>
    <cfRule type="cellIs" dxfId="4144" priority="136" stopIfTrue="1" operator="lessThan">
      <formula>-0.03</formula>
    </cfRule>
  </conditionalFormatting>
  <conditionalFormatting sqref="I52:I54">
    <cfRule type="cellIs" dxfId="4143" priority="133" operator="greaterThan">
      <formula>0.03</formula>
    </cfRule>
    <cfRule type="cellIs" dxfId="4142" priority="134" stopIfTrue="1" operator="lessThan">
      <formula>-0.03</formula>
    </cfRule>
  </conditionalFormatting>
  <conditionalFormatting sqref="I52:I54">
    <cfRule type="cellIs" dxfId="4141" priority="131" operator="greaterThan">
      <formula>0.03</formula>
    </cfRule>
    <cfRule type="cellIs" dxfId="4140" priority="132" stopIfTrue="1" operator="lessThan">
      <formula>-0.03</formula>
    </cfRule>
  </conditionalFormatting>
  <conditionalFormatting sqref="I48:I50">
    <cfRule type="cellIs" dxfId="4139" priority="129" operator="greaterThan">
      <formula>0.03</formula>
    </cfRule>
    <cfRule type="cellIs" dxfId="4138" priority="130" stopIfTrue="1" operator="lessThan">
      <formula>-0.03</formula>
    </cfRule>
  </conditionalFormatting>
  <conditionalFormatting sqref="I48:I50">
    <cfRule type="cellIs" dxfId="4137" priority="127" operator="greaterThan">
      <formula>0.03</formula>
    </cfRule>
    <cfRule type="cellIs" dxfId="4136" priority="128" stopIfTrue="1" operator="lessThan">
      <formula>-0.03</formula>
    </cfRule>
  </conditionalFormatting>
  <conditionalFormatting sqref="I51">
    <cfRule type="cellIs" dxfId="4135" priority="109" operator="greaterThan">
      <formula>0.03</formula>
    </cfRule>
    <cfRule type="cellIs" dxfId="4134" priority="110" stopIfTrue="1" operator="lessThan">
      <formula>-0.03</formula>
    </cfRule>
  </conditionalFormatting>
  <conditionalFormatting sqref="I51">
    <cfRule type="cellIs" dxfId="4133" priority="107" operator="greaterThan">
      <formula>0.03</formula>
    </cfRule>
    <cfRule type="cellIs" dxfId="4132" priority="108" stopIfTrue="1" operator="lessThan">
      <formula>-0.03</formula>
    </cfRule>
  </conditionalFormatting>
  <conditionalFormatting sqref="I51">
    <cfRule type="cellIs" dxfId="4131" priority="105" operator="greaterThan">
      <formula>0.03</formula>
    </cfRule>
    <cfRule type="cellIs" dxfId="4130" priority="106" stopIfTrue="1" operator="lessThan">
      <formula>-0.03</formula>
    </cfRule>
  </conditionalFormatting>
  <conditionalFormatting sqref="I51">
    <cfRule type="cellIs" dxfId="4129" priority="103" operator="greaterThan">
      <formula>0.03</formula>
    </cfRule>
    <cfRule type="cellIs" dxfId="4128" priority="104" stopIfTrue="1" operator="lessThan">
      <formula>-0.03</formula>
    </cfRule>
  </conditionalFormatting>
  <conditionalFormatting sqref="I51">
    <cfRule type="cellIs" dxfId="4127" priority="101" operator="greaterThan">
      <formula>0.03</formula>
    </cfRule>
    <cfRule type="cellIs" dxfId="4126" priority="102" stopIfTrue="1" operator="lessThan">
      <formula>-0.03</formula>
    </cfRule>
  </conditionalFormatting>
  <conditionalFormatting sqref="I48:I50">
    <cfRule type="cellIs" dxfId="4125" priority="125" operator="greaterThan">
      <formula>0.03</formula>
    </cfRule>
    <cfRule type="cellIs" dxfId="4124" priority="126" stopIfTrue="1" operator="lessThan">
      <formula>-0.03</formula>
    </cfRule>
  </conditionalFormatting>
  <conditionalFormatting sqref="I48:I50">
    <cfRule type="cellIs" dxfId="4123" priority="121" operator="greaterThan">
      <formula>0.03</formula>
    </cfRule>
    <cfRule type="cellIs" dxfId="4122" priority="122" stopIfTrue="1" operator="lessThan">
      <formula>-0.03</formula>
    </cfRule>
  </conditionalFormatting>
  <conditionalFormatting sqref="I48:I50">
    <cfRule type="cellIs" dxfId="4121" priority="123" operator="greaterThan">
      <formula>0.03</formula>
    </cfRule>
    <cfRule type="cellIs" dxfId="4120" priority="124" stopIfTrue="1" operator="lessThan">
      <formula>-0.03</formula>
    </cfRule>
  </conditionalFormatting>
  <conditionalFormatting sqref="I47">
    <cfRule type="cellIs" dxfId="4119" priority="119" operator="greaterThan">
      <formula>0.03</formula>
    </cfRule>
    <cfRule type="cellIs" dxfId="4118" priority="120" stopIfTrue="1" operator="lessThan">
      <formula>-0.03</formula>
    </cfRule>
  </conditionalFormatting>
  <conditionalFormatting sqref="I47">
    <cfRule type="cellIs" dxfId="4117" priority="117" operator="greaterThan">
      <formula>0.03</formula>
    </cfRule>
    <cfRule type="cellIs" dxfId="4116" priority="118" stopIfTrue="1" operator="lessThan">
      <formula>-0.03</formula>
    </cfRule>
  </conditionalFormatting>
  <conditionalFormatting sqref="I47">
    <cfRule type="cellIs" dxfId="4115" priority="115" operator="greaterThan">
      <formula>0.03</formula>
    </cfRule>
    <cfRule type="cellIs" dxfId="4114" priority="116" stopIfTrue="1" operator="lessThan">
      <formula>-0.03</formula>
    </cfRule>
  </conditionalFormatting>
  <conditionalFormatting sqref="I47">
    <cfRule type="cellIs" dxfId="4113" priority="113" operator="greaterThan">
      <formula>0.03</formula>
    </cfRule>
    <cfRule type="cellIs" dxfId="4112" priority="114" stopIfTrue="1" operator="lessThan">
      <formula>-0.03</formula>
    </cfRule>
  </conditionalFormatting>
  <conditionalFormatting sqref="I47">
    <cfRule type="cellIs" dxfId="4111" priority="111" operator="greaterThan">
      <formula>0.03</formula>
    </cfRule>
    <cfRule type="cellIs" dxfId="4110" priority="112" stopIfTrue="1" operator="lessThan">
      <formula>-0.03</formula>
    </cfRule>
  </conditionalFormatting>
  <conditionalFormatting sqref="I60:I62">
    <cfRule type="cellIs" dxfId="4109" priority="99" operator="greaterThan">
      <formula>0.03</formula>
    </cfRule>
    <cfRule type="cellIs" dxfId="4108" priority="100" stopIfTrue="1" operator="lessThan">
      <formula>-0.03</formula>
    </cfRule>
  </conditionalFormatting>
  <conditionalFormatting sqref="I60:I62">
    <cfRule type="cellIs" dxfId="4107" priority="97" operator="greaterThan">
      <formula>0.03</formula>
    </cfRule>
    <cfRule type="cellIs" dxfId="4106" priority="98" stopIfTrue="1" operator="lessThan">
      <formula>-0.03</formula>
    </cfRule>
  </conditionalFormatting>
  <conditionalFormatting sqref="I60:I62">
    <cfRule type="cellIs" dxfId="4105" priority="95" operator="greaterThan">
      <formula>0.03</formula>
    </cfRule>
    <cfRule type="cellIs" dxfId="4104" priority="96" stopIfTrue="1" operator="lessThan">
      <formula>-0.03</formula>
    </cfRule>
  </conditionalFormatting>
  <conditionalFormatting sqref="I60:I62">
    <cfRule type="cellIs" dxfId="4103" priority="93" operator="greaterThan">
      <formula>0.03</formula>
    </cfRule>
    <cfRule type="cellIs" dxfId="4102" priority="94" stopIfTrue="1" operator="lessThan">
      <formula>-0.03</formula>
    </cfRule>
  </conditionalFormatting>
  <conditionalFormatting sqref="I60:I62">
    <cfRule type="cellIs" dxfId="4101" priority="91" operator="greaterThan">
      <formula>0.03</formula>
    </cfRule>
    <cfRule type="cellIs" dxfId="4100" priority="92" stopIfTrue="1" operator="lessThan">
      <formula>-0.03</formula>
    </cfRule>
  </conditionalFormatting>
  <conditionalFormatting sqref="I59">
    <cfRule type="cellIs" dxfId="4099" priority="89" operator="greaterThan">
      <formula>0.03</formula>
    </cfRule>
    <cfRule type="cellIs" dxfId="4098" priority="90" stopIfTrue="1" operator="lessThan">
      <formula>-0.03</formula>
    </cfRule>
  </conditionalFormatting>
  <conditionalFormatting sqref="I59">
    <cfRule type="cellIs" dxfId="4097" priority="87" operator="greaterThan">
      <formula>0.03</formula>
    </cfRule>
    <cfRule type="cellIs" dxfId="4096" priority="88" stopIfTrue="1" operator="lessThan">
      <formula>-0.03</formula>
    </cfRule>
  </conditionalFormatting>
  <conditionalFormatting sqref="I59">
    <cfRule type="cellIs" dxfId="4095" priority="85" operator="greaterThan">
      <formula>0.03</formula>
    </cfRule>
    <cfRule type="cellIs" dxfId="4094" priority="86" stopIfTrue="1" operator="lessThan">
      <formula>-0.03</formula>
    </cfRule>
  </conditionalFormatting>
  <conditionalFormatting sqref="I59">
    <cfRule type="cellIs" dxfId="4093" priority="83" operator="greaterThan">
      <formula>0.03</formula>
    </cfRule>
    <cfRule type="cellIs" dxfId="4092" priority="84" stopIfTrue="1" operator="lessThan">
      <formula>-0.03</formula>
    </cfRule>
  </conditionalFormatting>
  <conditionalFormatting sqref="I59">
    <cfRule type="cellIs" dxfId="4091" priority="81" operator="greaterThan">
      <formula>0.03</formula>
    </cfRule>
    <cfRule type="cellIs" dxfId="4090" priority="82" stopIfTrue="1" operator="lessThan">
      <formula>-0.03</formula>
    </cfRule>
  </conditionalFormatting>
  <conditionalFormatting sqref="I4:I6 I8:I10">
    <cfRule type="cellIs" dxfId="4089" priority="79" operator="greaterThan">
      <formula>0.03</formula>
    </cfRule>
    <cfRule type="cellIs" dxfId="4088" priority="80" stopIfTrue="1" operator="lessThan">
      <formula>-0.03</formula>
    </cfRule>
  </conditionalFormatting>
  <conditionalFormatting sqref="I4:I6 I8:I10">
    <cfRule type="cellIs" dxfId="4087" priority="77" operator="greaterThan">
      <formula>0.03</formula>
    </cfRule>
    <cfRule type="cellIs" dxfId="4086" priority="78" stopIfTrue="1" operator="lessThan">
      <formula>-0.03</formula>
    </cfRule>
  </conditionalFormatting>
  <conditionalFormatting sqref="I4:I6 I8:I10">
    <cfRule type="cellIs" dxfId="4085" priority="75" operator="greaterThan">
      <formula>0.03</formula>
    </cfRule>
    <cfRule type="cellIs" dxfId="4084" priority="76" stopIfTrue="1" operator="lessThan">
      <formula>-0.03</formula>
    </cfRule>
  </conditionalFormatting>
  <conditionalFormatting sqref="I4:I6 I8:I10">
    <cfRule type="cellIs" dxfId="4083" priority="71" operator="greaterThan">
      <formula>0.03</formula>
    </cfRule>
    <cfRule type="cellIs" dxfId="4082" priority="72" stopIfTrue="1" operator="lessThan">
      <formula>-0.03</formula>
    </cfRule>
  </conditionalFormatting>
  <conditionalFormatting sqref="I4:I6 I8:I10">
    <cfRule type="cellIs" dxfId="4081" priority="73" operator="greaterThan">
      <formula>0.03</formula>
    </cfRule>
    <cfRule type="cellIs" dxfId="4080" priority="74" stopIfTrue="1" operator="lessThan">
      <formula>-0.03</formula>
    </cfRule>
  </conditionalFormatting>
  <conditionalFormatting sqref="I3">
    <cfRule type="cellIs" dxfId="4079" priority="69" operator="greaterThan">
      <formula>0.03</formula>
    </cfRule>
    <cfRule type="cellIs" dxfId="4078" priority="70" stopIfTrue="1" operator="lessThan">
      <formula>-0.03</formula>
    </cfRule>
  </conditionalFormatting>
  <conditionalFormatting sqref="I3">
    <cfRule type="cellIs" dxfId="4077" priority="67" operator="greaterThan">
      <formula>0.03</formula>
    </cfRule>
    <cfRule type="cellIs" dxfId="4076" priority="68" stopIfTrue="1" operator="lessThan">
      <formula>-0.03</formula>
    </cfRule>
  </conditionalFormatting>
  <conditionalFormatting sqref="I3">
    <cfRule type="cellIs" dxfId="4075" priority="65" operator="greaterThan">
      <formula>0.03</formula>
    </cfRule>
    <cfRule type="cellIs" dxfId="4074" priority="66" stopIfTrue="1" operator="lessThan">
      <formula>-0.03</formula>
    </cfRule>
  </conditionalFormatting>
  <conditionalFormatting sqref="I3">
    <cfRule type="cellIs" dxfId="4073" priority="63" operator="greaterThan">
      <formula>0.03</formula>
    </cfRule>
    <cfRule type="cellIs" dxfId="4072" priority="64" stopIfTrue="1" operator="lessThan">
      <formula>-0.03</formula>
    </cfRule>
  </conditionalFormatting>
  <conditionalFormatting sqref="I3">
    <cfRule type="cellIs" dxfId="4071" priority="61" operator="greaterThan">
      <formula>0.03</formula>
    </cfRule>
    <cfRule type="cellIs" dxfId="4070" priority="62" stopIfTrue="1" operator="lessThan">
      <formula>-0.03</formula>
    </cfRule>
  </conditionalFormatting>
  <conditionalFormatting sqref="I7">
    <cfRule type="cellIs" dxfId="4069" priority="59" operator="greaterThan">
      <formula>0.03</formula>
    </cfRule>
    <cfRule type="cellIs" dxfId="4068" priority="60" stopIfTrue="1" operator="lessThan">
      <formula>-0.03</formula>
    </cfRule>
  </conditionalFormatting>
  <conditionalFormatting sqref="I7">
    <cfRule type="cellIs" dxfId="4067" priority="57" operator="greaterThan">
      <formula>0.03</formula>
    </cfRule>
    <cfRule type="cellIs" dxfId="4066" priority="58" stopIfTrue="1" operator="lessThan">
      <formula>-0.03</formula>
    </cfRule>
  </conditionalFormatting>
  <conditionalFormatting sqref="I7">
    <cfRule type="cellIs" dxfId="4065" priority="55" operator="greaterThan">
      <formula>0.03</formula>
    </cfRule>
    <cfRule type="cellIs" dxfId="4064" priority="56" stopIfTrue="1" operator="lessThan">
      <formula>-0.03</formula>
    </cfRule>
  </conditionalFormatting>
  <conditionalFormatting sqref="I7">
    <cfRule type="cellIs" dxfId="4063" priority="53" operator="greaterThan">
      <formula>0.03</formula>
    </cfRule>
    <cfRule type="cellIs" dxfId="4062" priority="54" stopIfTrue="1" operator="lessThan">
      <formula>-0.03</formula>
    </cfRule>
  </conditionalFormatting>
  <conditionalFormatting sqref="I7">
    <cfRule type="cellIs" dxfId="4061" priority="51" operator="greaterThan">
      <formula>0.03</formula>
    </cfRule>
    <cfRule type="cellIs" dxfId="4060" priority="52" stopIfTrue="1" operator="lessThan">
      <formula>-0.03</formula>
    </cfRule>
  </conditionalFormatting>
  <conditionalFormatting sqref="I15">
    <cfRule type="cellIs" dxfId="4059" priority="49" operator="greaterThan">
      <formula>0.03</formula>
    </cfRule>
    <cfRule type="cellIs" dxfId="4058" priority="50" stopIfTrue="1" operator="lessThan">
      <formula>-0.03</formula>
    </cfRule>
  </conditionalFormatting>
  <conditionalFormatting sqref="I15">
    <cfRule type="cellIs" dxfId="4057" priority="47" operator="greaterThan">
      <formula>0.03</formula>
    </cfRule>
    <cfRule type="cellIs" dxfId="4056" priority="48" stopIfTrue="1" operator="lessThan">
      <formula>-0.03</formula>
    </cfRule>
  </conditionalFormatting>
  <conditionalFormatting sqref="I15">
    <cfRule type="cellIs" dxfId="4055" priority="45" operator="greaterThan">
      <formula>0.03</formula>
    </cfRule>
    <cfRule type="cellIs" dxfId="4054" priority="46" stopIfTrue="1" operator="lessThan">
      <formula>-0.03</formula>
    </cfRule>
  </conditionalFormatting>
  <conditionalFormatting sqref="I15">
    <cfRule type="cellIs" dxfId="4053" priority="43" operator="greaterThan">
      <formula>0.03</formula>
    </cfRule>
    <cfRule type="cellIs" dxfId="4052" priority="44" stopIfTrue="1" operator="lessThan">
      <formula>-0.03</formula>
    </cfRule>
  </conditionalFormatting>
  <conditionalFormatting sqref="I15">
    <cfRule type="cellIs" dxfId="4051" priority="41" operator="greaterThan">
      <formula>0.03</formula>
    </cfRule>
    <cfRule type="cellIs" dxfId="4050" priority="42" stopIfTrue="1" operator="lessThan">
      <formula>-0.03</formula>
    </cfRule>
  </conditionalFormatting>
  <conditionalFormatting sqref="I73">
    <cfRule type="cellIs" dxfId="4049" priority="39" operator="greaterThan">
      <formula>0.03</formula>
    </cfRule>
    <cfRule type="cellIs" dxfId="4048" priority="40" stopIfTrue="1" operator="lessThan">
      <formula>-0.03</formula>
    </cfRule>
  </conditionalFormatting>
  <conditionalFormatting sqref="I73">
    <cfRule type="cellIs" dxfId="4047" priority="37" operator="greaterThan">
      <formula>0.03</formula>
    </cfRule>
    <cfRule type="cellIs" dxfId="4046" priority="38" stopIfTrue="1" operator="lessThan">
      <formula>-0.03</formula>
    </cfRule>
  </conditionalFormatting>
  <conditionalFormatting sqref="I73">
    <cfRule type="cellIs" dxfId="4045" priority="35" operator="greaterThan">
      <formula>0.03</formula>
    </cfRule>
    <cfRule type="cellIs" dxfId="4044" priority="36" stopIfTrue="1" operator="lessThan">
      <formula>-0.03</formula>
    </cfRule>
  </conditionalFormatting>
  <conditionalFormatting sqref="I73">
    <cfRule type="cellIs" dxfId="4043" priority="33" operator="greaterThan">
      <formula>0.03</formula>
    </cfRule>
    <cfRule type="cellIs" dxfId="4042" priority="34" stopIfTrue="1" operator="lessThan">
      <formula>-0.03</formula>
    </cfRule>
  </conditionalFormatting>
  <conditionalFormatting sqref="I73">
    <cfRule type="cellIs" dxfId="4041" priority="31" operator="greaterThan">
      <formula>0.03</formula>
    </cfRule>
    <cfRule type="cellIs" dxfId="4040" priority="32" stopIfTrue="1" operator="lessThan">
      <formula>-0.03</formula>
    </cfRule>
  </conditionalFormatting>
  <conditionalFormatting sqref="I77">
    <cfRule type="cellIs" dxfId="4039" priority="29" operator="greaterThan">
      <formula>0.03</formula>
    </cfRule>
    <cfRule type="cellIs" dxfId="4038" priority="30" stopIfTrue="1" operator="lessThan">
      <formula>-0.03</formula>
    </cfRule>
  </conditionalFormatting>
  <conditionalFormatting sqref="I77">
    <cfRule type="cellIs" dxfId="4037" priority="27" operator="greaterThan">
      <formula>0.03</formula>
    </cfRule>
    <cfRule type="cellIs" dxfId="4036" priority="28" stopIfTrue="1" operator="lessThan">
      <formula>-0.03</formula>
    </cfRule>
  </conditionalFormatting>
  <conditionalFormatting sqref="I77">
    <cfRule type="cellIs" dxfId="4035" priority="25" operator="greaterThan">
      <formula>0.03</formula>
    </cfRule>
    <cfRule type="cellIs" dxfId="4034" priority="26" stopIfTrue="1" operator="lessThan">
      <formula>-0.03</formula>
    </cfRule>
  </conditionalFormatting>
  <conditionalFormatting sqref="I77">
    <cfRule type="cellIs" dxfId="4033" priority="23" operator="greaterThan">
      <formula>0.03</formula>
    </cfRule>
    <cfRule type="cellIs" dxfId="4032" priority="24" stopIfTrue="1" operator="lessThan">
      <formula>-0.03</formula>
    </cfRule>
  </conditionalFormatting>
  <conditionalFormatting sqref="I77">
    <cfRule type="cellIs" dxfId="4031" priority="21" operator="greaterThan">
      <formula>0.03</formula>
    </cfRule>
    <cfRule type="cellIs" dxfId="4030" priority="22" stopIfTrue="1" operator="lessThan">
      <formula>-0.03</formula>
    </cfRule>
  </conditionalFormatting>
  <conditionalFormatting sqref="I81">
    <cfRule type="cellIs" dxfId="4029" priority="19" operator="greaterThan">
      <formula>0.03</formula>
    </cfRule>
    <cfRule type="cellIs" dxfId="4028" priority="20" stopIfTrue="1" operator="lessThan">
      <formula>-0.03</formula>
    </cfRule>
  </conditionalFormatting>
  <conditionalFormatting sqref="I81">
    <cfRule type="cellIs" dxfId="4027" priority="17" operator="greaterThan">
      <formula>0.03</formula>
    </cfRule>
    <cfRule type="cellIs" dxfId="4026" priority="18" stopIfTrue="1" operator="lessThan">
      <formula>-0.03</formula>
    </cfRule>
  </conditionalFormatting>
  <conditionalFormatting sqref="I81">
    <cfRule type="cellIs" dxfId="4025" priority="15" operator="greaterThan">
      <formula>0.03</formula>
    </cfRule>
    <cfRule type="cellIs" dxfId="4024" priority="16" stopIfTrue="1" operator="lessThan">
      <formula>-0.03</formula>
    </cfRule>
  </conditionalFormatting>
  <conditionalFormatting sqref="I81">
    <cfRule type="cellIs" dxfId="4023" priority="13" operator="greaterThan">
      <formula>0.03</formula>
    </cfRule>
    <cfRule type="cellIs" dxfId="4022" priority="14" stopIfTrue="1" operator="lessThan">
      <formula>-0.03</formula>
    </cfRule>
  </conditionalFormatting>
  <conditionalFormatting sqref="I81">
    <cfRule type="cellIs" dxfId="4021" priority="11" operator="greaterThan">
      <formula>0.03</formula>
    </cfRule>
    <cfRule type="cellIs" dxfId="4020" priority="12" stopIfTrue="1" operator="lessThan">
      <formula>-0.03</formula>
    </cfRule>
  </conditionalFormatting>
  <conditionalFormatting sqref="I85">
    <cfRule type="cellIs" dxfId="4019" priority="9" operator="greaterThan">
      <formula>0.03</formula>
    </cfRule>
    <cfRule type="cellIs" dxfId="4018" priority="10" stopIfTrue="1" operator="lessThan">
      <formula>-0.03</formula>
    </cfRule>
  </conditionalFormatting>
  <conditionalFormatting sqref="I85">
    <cfRule type="cellIs" dxfId="4017" priority="7" operator="greaterThan">
      <formula>0.03</formula>
    </cfRule>
    <cfRule type="cellIs" dxfId="4016" priority="8" stopIfTrue="1" operator="lessThan">
      <formula>-0.03</formula>
    </cfRule>
  </conditionalFormatting>
  <conditionalFormatting sqref="I85">
    <cfRule type="cellIs" dxfId="4015" priority="5" operator="greaterThan">
      <formula>0.03</formula>
    </cfRule>
    <cfRule type="cellIs" dxfId="4014" priority="6" stopIfTrue="1" operator="lessThan">
      <formula>-0.03</formula>
    </cfRule>
  </conditionalFormatting>
  <conditionalFormatting sqref="I85">
    <cfRule type="cellIs" dxfId="4013" priority="3" operator="greaterThan">
      <formula>0.03</formula>
    </cfRule>
    <cfRule type="cellIs" dxfId="4012" priority="4" stopIfTrue="1" operator="lessThan">
      <formula>-0.03</formula>
    </cfRule>
  </conditionalFormatting>
  <conditionalFormatting sqref="I85">
    <cfRule type="cellIs" dxfId="4011" priority="1" operator="greaterThan">
      <formula>0.03</formula>
    </cfRule>
    <cfRule type="cellIs" dxfId="4010" priority="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C37EA-F5F4-4535-BE78-99C11BACE044}">
  <dimension ref="A1:L88"/>
  <sheetViews>
    <sheetView topLeftCell="A49" zoomScaleNormal="100" workbookViewId="0">
      <selection activeCell="L30" sqref="L30"/>
    </sheetView>
  </sheetViews>
  <sheetFormatPr defaultColWidth="8.875" defaultRowHeight="14.25"/>
  <cols>
    <col min="2" max="2" width="25.375" bestFit="1" customWidth="1"/>
    <col min="3" max="3" width="5.875" bestFit="1" customWidth="1"/>
    <col min="6" max="6" width="3.625" bestFit="1" customWidth="1"/>
  </cols>
  <sheetData>
    <row r="1" spans="1:12" ht="15" thickBot="1">
      <c r="A1" s="1"/>
      <c r="B1" s="1"/>
      <c r="C1" s="1"/>
      <c r="D1" s="28" t="s">
        <v>25</v>
      </c>
      <c r="E1" s="29"/>
      <c r="F1" s="1"/>
      <c r="G1" s="28" t="s">
        <v>26</v>
      </c>
      <c r="H1" s="29"/>
      <c r="I1" s="25"/>
    </row>
    <row r="2" spans="1:12" ht="15" thickBot="1">
      <c r="A2" s="2"/>
      <c r="B2" s="3"/>
      <c r="C2" s="22" t="s">
        <v>24</v>
      </c>
      <c r="D2" s="13" t="s">
        <v>0</v>
      </c>
      <c r="E2" s="5" t="s">
        <v>1</v>
      </c>
      <c r="F2" s="22" t="s">
        <v>24</v>
      </c>
      <c r="G2" s="13" t="s">
        <v>0</v>
      </c>
      <c r="H2" s="5" t="s">
        <v>1</v>
      </c>
      <c r="I2" s="13" t="s">
        <v>3</v>
      </c>
      <c r="K2" s="27"/>
    </row>
    <row r="3" spans="1:12">
      <c r="A3" s="20" t="s">
        <v>4</v>
      </c>
      <c r="B3" s="15" t="s">
        <v>27</v>
      </c>
      <c r="C3" s="6">
        <v>27</v>
      </c>
      <c r="D3" s="24">
        <v>0.12852752057613101</v>
      </c>
      <c r="E3" s="24">
        <v>35.7377319335937</v>
      </c>
      <c r="F3" s="6">
        <v>27</v>
      </c>
      <c r="G3" s="24">
        <v>0.15356176054526699</v>
      </c>
      <c r="H3" s="24">
        <v>35.841068267822202</v>
      </c>
      <c r="I3" s="7">
        <f>bdrate($D3:$D6,E3:E6,$G3:$G6,H3:H6)</f>
        <v>0.1458682551702406</v>
      </c>
      <c r="K3" s="24"/>
      <c r="L3" s="24"/>
    </row>
    <row r="4" spans="1:12">
      <c r="A4" s="14" t="s">
        <v>5</v>
      </c>
      <c r="B4" s="16"/>
      <c r="C4" s="8">
        <v>32</v>
      </c>
      <c r="D4" s="24">
        <v>8.7893679269547303E-2</v>
      </c>
      <c r="E4" s="24">
        <v>35.213768005371001</v>
      </c>
      <c r="F4" s="8">
        <v>32</v>
      </c>
      <c r="G4" s="24">
        <v>0.106318479938271</v>
      </c>
      <c r="H4" s="24">
        <v>35.324825286865199</v>
      </c>
      <c r="I4" s="9"/>
      <c r="K4" s="24"/>
      <c r="L4" s="24"/>
    </row>
    <row r="5" spans="1:12">
      <c r="A5" s="8"/>
      <c r="B5" s="16"/>
      <c r="C5" s="8">
        <v>38</v>
      </c>
      <c r="D5" s="24">
        <v>6.1944926697530801E-2</v>
      </c>
      <c r="E5" s="24">
        <v>34.599849700927699</v>
      </c>
      <c r="F5" s="8">
        <v>38</v>
      </c>
      <c r="G5" s="24">
        <v>7.5356706532921799E-2</v>
      </c>
      <c r="H5" s="24">
        <v>34.702972412109297</v>
      </c>
      <c r="I5" s="9"/>
      <c r="K5" s="24"/>
      <c r="L5" s="24"/>
    </row>
    <row r="6" spans="1:12" ht="15" thickBot="1">
      <c r="A6" s="8"/>
      <c r="B6" s="17"/>
      <c r="C6" s="10">
        <v>45</v>
      </c>
      <c r="D6" s="24">
        <v>3.9945505401234503E-2</v>
      </c>
      <c r="E6" s="24">
        <v>33.588111877441399</v>
      </c>
      <c r="F6" s="10">
        <v>45</v>
      </c>
      <c r="G6" s="24">
        <v>4.9067483281892997E-2</v>
      </c>
      <c r="H6" s="24">
        <v>33.717849731445298</v>
      </c>
      <c r="I6" s="2"/>
      <c r="K6" s="24"/>
      <c r="L6" s="24"/>
    </row>
    <row r="7" spans="1:12">
      <c r="A7" s="8"/>
      <c r="B7" s="15" t="s">
        <v>12</v>
      </c>
      <c r="C7" s="6">
        <v>27</v>
      </c>
      <c r="D7" s="24">
        <v>0.20939782664609</v>
      </c>
      <c r="E7" s="24">
        <v>33.5188598632812</v>
      </c>
      <c r="F7" s="6">
        <v>27</v>
      </c>
      <c r="G7" s="24">
        <v>0.18688368055555499</v>
      </c>
      <c r="H7" s="24">
        <v>33.791717529296797</v>
      </c>
      <c r="I7" s="7">
        <f>bdrate($D7:$D10,E7:E10,$G7:$G10,H7:H10)</f>
        <v>-0.37963769091424049</v>
      </c>
      <c r="K7" s="24"/>
      <c r="L7" s="24"/>
    </row>
    <row r="8" spans="1:12">
      <c r="A8" s="8"/>
      <c r="C8" s="8">
        <v>32</v>
      </c>
      <c r="D8" s="24">
        <v>0.115536586934156</v>
      </c>
      <c r="E8" s="24">
        <v>32.664688110351499</v>
      </c>
      <c r="F8" s="8">
        <v>32</v>
      </c>
      <c r="G8" s="24">
        <v>0.104747299382716</v>
      </c>
      <c r="H8" s="24">
        <v>33.188018798828097</v>
      </c>
      <c r="I8" s="9"/>
      <c r="K8" s="24"/>
      <c r="L8" s="24"/>
    </row>
    <row r="9" spans="1:12">
      <c r="A9" s="8"/>
      <c r="B9" s="16"/>
      <c r="C9" s="8">
        <v>38</v>
      </c>
      <c r="D9" s="24">
        <v>7.21736754115226E-2</v>
      </c>
      <c r="E9" s="24">
        <v>31.948848724365199</v>
      </c>
      <c r="F9" s="8">
        <v>38</v>
      </c>
      <c r="G9" s="24">
        <v>6.7697563014403203E-2</v>
      </c>
      <c r="H9" s="24">
        <v>32.634788513183501</v>
      </c>
      <c r="I9" s="9"/>
      <c r="K9" s="24"/>
      <c r="L9" s="24"/>
    </row>
    <row r="10" spans="1:12" ht="15" thickBot="1">
      <c r="A10" s="8"/>
      <c r="B10" s="17"/>
      <c r="C10" s="10">
        <v>45</v>
      </c>
      <c r="D10" s="24">
        <v>4.2048932613168701E-2</v>
      </c>
      <c r="E10" s="24">
        <v>30.909786224365199</v>
      </c>
      <c r="F10" s="10">
        <v>45</v>
      </c>
      <c r="G10" s="24">
        <v>4.1668756430041101E-2</v>
      </c>
      <c r="H10" s="24">
        <v>31.763713836669901</v>
      </c>
      <c r="I10" s="9"/>
      <c r="K10" s="24"/>
      <c r="L10" s="24"/>
    </row>
    <row r="11" spans="1:12">
      <c r="A11" s="14"/>
      <c r="B11" s="21" t="s">
        <v>18</v>
      </c>
      <c r="C11" s="6">
        <v>27</v>
      </c>
      <c r="D11" s="24">
        <v>0.145952932098765</v>
      </c>
      <c r="E11" s="24">
        <v>34.099388122558501</v>
      </c>
      <c r="F11" s="6">
        <v>27</v>
      </c>
      <c r="G11" s="24">
        <v>0.137164673353909</v>
      </c>
      <c r="H11" s="24">
        <v>34.4438667297363</v>
      </c>
      <c r="I11" s="7">
        <f>bdrate($D11:$D14,E11:E14,$G11:$G14,H11:H14)</f>
        <v>-0.34955525881021665</v>
      </c>
      <c r="K11" s="24"/>
      <c r="L11" s="24"/>
    </row>
    <row r="12" spans="1:12">
      <c r="A12" s="14"/>
      <c r="B12" s="16"/>
      <c r="C12" s="8">
        <v>32</v>
      </c>
      <c r="D12" s="24">
        <v>8.8893068415637794E-2</v>
      </c>
      <c r="E12" s="24">
        <v>33.478126525878899</v>
      </c>
      <c r="F12" s="8">
        <v>32</v>
      </c>
      <c r="G12" s="24">
        <v>8.3194765946502006E-2</v>
      </c>
      <c r="H12" s="24">
        <v>33.969821929931598</v>
      </c>
      <c r="I12" s="9"/>
      <c r="K12" s="24"/>
      <c r="L12" s="24"/>
    </row>
    <row r="13" spans="1:12">
      <c r="A13" s="8"/>
      <c r="C13" s="8">
        <v>38</v>
      </c>
      <c r="D13" s="24">
        <v>5.7060024434156302E-2</v>
      </c>
      <c r="E13" s="24">
        <v>32.784072875976499</v>
      </c>
      <c r="F13" s="8">
        <v>38</v>
      </c>
      <c r="G13" s="24">
        <v>5.5670492541152201E-2</v>
      </c>
      <c r="H13" s="24">
        <v>33.443874359130803</v>
      </c>
      <c r="I13" s="9"/>
      <c r="K13" s="24"/>
      <c r="L13" s="24"/>
    </row>
    <row r="14" spans="1:12" ht="15" thickBot="1">
      <c r="A14" s="8"/>
      <c r="B14" s="17"/>
      <c r="C14" s="10">
        <v>45</v>
      </c>
      <c r="D14" s="24">
        <v>3.3213895318930001E-2</v>
      </c>
      <c r="E14" s="24">
        <v>31.670574188232401</v>
      </c>
      <c r="F14" s="10">
        <v>45</v>
      </c>
      <c r="G14" s="24">
        <v>3.4042084619341502E-2</v>
      </c>
      <c r="H14" s="24">
        <v>32.529850006103501</v>
      </c>
      <c r="I14" s="2"/>
      <c r="K14" s="24"/>
      <c r="L14" s="24"/>
    </row>
    <row r="15" spans="1:12">
      <c r="A15" s="8"/>
      <c r="B15" s="15" t="s">
        <v>22</v>
      </c>
      <c r="C15" s="6">
        <v>27</v>
      </c>
      <c r="D15" s="24">
        <v>0.12527874228395</v>
      </c>
      <c r="E15" s="24">
        <v>38.247966766357401</v>
      </c>
      <c r="F15" s="6">
        <v>27</v>
      </c>
      <c r="G15" s="24">
        <v>0.12867091049382701</v>
      </c>
      <c r="H15" s="24">
        <v>38.193389892578097</v>
      </c>
      <c r="I15" s="7">
        <f>bdrate($D15:$D18,E15:E18,$G15:$G18,H15:H18)</f>
        <v>3.3219251480206102E-2</v>
      </c>
      <c r="K15" s="24"/>
      <c r="L15" s="24"/>
    </row>
    <row r="16" spans="1:12">
      <c r="A16" s="8"/>
      <c r="C16" s="8">
        <v>32</v>
      </c>
      <c r="D16" s="24">
        <v>8.4038548096707799E-2</v>
      </c>
      <c r="E16" s="24">
        <v>37.433433532714801</v>
      </c>
      <c r="F16" s="8">
        <v>32</v>
      </c>
      <c r="G16" s="24">
        <v>8.6390335648148103E-2</v>
      </c>
      <c r="H16" s="24">
        <v>37.398651123046797</v>
      </c>
      <c r="I16" s="9"/>
      <c r="K16" s="24"/>
      <c r="L16" s="24"/>
    </row>
    <row r="17" spans="1:12">
      <c r="A17" s="8"/>
      <c r="B17" s="16"/>
      <c r="C17" s="8">
        <v>38</v>
      </c>
      <c r="D17" s="24">
        <v>5.7751575360082297E-2</v>
      </c>
      <c r="E17" s="24">
        <v>36.477035522460902</v>
      </c>
      <c r="F17" s="8">
        <v>38</v>
      </c>
      <c r="G17" s="24">
        <v>5.9749549897119301E-2</v>
      </c>
      <c r="H17" s="24">
        <v>36.485748291015597</v>
      </c>
      <c r="I17" s="9"/>
      <c r="K17" s="24"/>
      <c r="L17" s="24"/>
    </row>
    <row r="18" spans="1:12" ht="15" thickBot="1">
      <c r="A18" s="8"/>
      <c r="B18" s="17"/>
      <c r="C18" s="10">
        <v>45</v>
      </c>
      <c r="D18" s="24">
        <v>3.5754565329218099E-2</v>
      </c>
      <c r="E18" s="24">
        <v>34.980873107910099</v>
      </c>
      <c r="F18" s="10">
        <v>45</v>
      </c>
      <c r="G18" s="24">
        <v>3.7813464506172803E-2</v>
      </c>
      <c r="H18" s="24">
        <v>35.147613525390597</v>
      </c>
      <c r="I18" s="9"/>
      <c r="K18" s="24"/>
      <c r="L18" s="24"/>
    </row>
    <row r="19" spans="1:12">
      <c r="A19" s="8"/>
      <c r="B19" s="21" t="s">
        <v>23</v>
      </c>
      <c r="C19" s="6">
        <v>27</v>
      </c>
      <c r="D19" s="24">
        <v>0.150858892746913</v>
      </c>
      <c r="E19" s="24">
        <v>35.021903991699197</v>
      </c>
      <c r="F19" s="6">
        <v>27</v>
      </c>
      <c r="G19" s="24">
        <v>0.12865451388888799</v>
      </c>
      <c r="H19" s="24">
        <v>35.776451110839801</v>
      </c>
      <c r="I19" s="7">
        <f>bdrate($D19:$D22,E19:E22,$G19:$G22,H19:H22)</f>
        <v>-0.44285663816013698</v>
      </c>
      <c r="K19" s="24"/>
      <c r="L19" s="24"/>
    </row>
    <row r="20" spans="1:12">
      <c r="A20" s="8"/>
      <c r="B20" s="16"/>
      <c r="C20" s="8">
        <v>32</v>
      </c>
      <c r="D20" s="24">
        <v>9.2465599279835303E-2</v>
      </c>
      <c r="E20" s="24">
        <v>33.912879943847599</v>
      </c>
      <c r="F20" s="8">
        <v>32</v>
      </c>
      <c r="G20" s="24">
        <v>8.2682291666666602E-2</v>
      </c>
      <c r="H20" s="24">
        <v>34.997596740722599</v>
      </c>
      <c r="I20" s="9"/>
      <c r="K20" s="24"/>
      <c r="L20" s="24"/>
    </row>
    <row r="21" spans="1:12">
      <c r="A21" s="8"/>
      <c r="B21" s="16"/>
      <c r="C21" s="8">
        <v>38</v>
      </c>
      <c r="D21" s="24">
        <v>5.93166473765432E-2</v>
      </c>
      <c r="E21" s="24">
        <v>32.780540466308501</v>
      </c>
      <c r="F21" s="8">
        <v>38</v>
      </c>
      <c r="G21" s="24">
        <v>5.5543820730452602E-2</v>
      </c>
      <c r="H21" s="24">
        <v>34.110927581787102</v>
      </c>
      <c r="I21" s="9"/>
      <c r="K21" s="24"/>
      <c r="L21" s="24"/>
    </row>
    <row r="22" spans="1:12" ht="15" thickBot="1">
      <c r="A22" s="8"/>
      <c r="B22" s="17"/>
      <c r="C22" s="10">
        <v>45</v>
      </c>
      <c r="D22" s="24">
        <v>3.3872974537036998E-2</v>
      </c>
      <c r="E22" s="24">
        <v>31.2306823730468</v>
      </c>
      <c r="F22" s="10">
        <v>45</v>
      </c>
      <c r="G22" s="24">
        <v>3.3333333333333298E-2</v>
      </c>
      <c r="H22" s="24">
        <v>32.721855163574197</v>
      </c>
      <c r="I22" s="2"/>
      <c r="K22" s="24"/>
      <c r="L22" s="24"/>
    </row>
    <row r="23" spans="1:12">
      <c r="A23" s="20" t="s">
        <v>6</v>
      </c>
      <c r="B23" s="15" t="s">
        <v>28</v>
      </c>
      <c r="C23" s="6">
        <v>27</v>
      </c>
      <c r="D23" s="24">
        <v>0.16314519898504201</v>
      </c>
      <c r="E23" s="24">
        <v>35.106185913085902</v>
      </c>
      <c r="F23" s="6">
        <v>27</v>
      </c>
      <c r="G23" s="24">
        <v>0.165908787393162</v>
      </c>
      <c r="H23" s="24">
        <v>35.907764434814403</v>
      </c>
      <c r="I23" s="7">
        <f>bdrate($D23:$D26,E23:E26,$G23:$G26,H23:H26)</f>
        <v>-0.27644271564762302</v>
      </c>
    </row>
    <row r="24" spans="1:12">
      <c r="A24" s="14" t="s">
        <v>7</v>
      </c>
      <c r="B24" s="16"/>
      <c r="C24" s="8">
        <v>32</v>
      </c>
      <c r="D24" s="24">
        <v>0.113540831997863</v>
      </c>
      <c r="E24" s="24">
        <v>34.248420715332003</v>
      </c>
      <c r="F24" s="8">
        <v>32</v>
      </c>
      <c r="G24" s="24">
        <v>0.11720419337606799</v>
      </c>
      <c r="H24" s="24">
        <v>35.186260223388601</v>
      </c>
      <c r="I24" s="9"/>
    </row>
    <row r="25" spans="1:12">
      <c r="A25" s="8"/>
      <c r="B25" s="16"/>
      <c r="C25" s="8">
        <v>38</v>
      </c>
      <c r="D25" s="24">
        <v>7.9633246527777701E-2</v>
      </c>
      <c r="E25" s="24">
        <v>33.278575897216797</v>
      </c>
      <c r="F25" s="8">
        <v>38</v>
      </c>
      <c r="G25" s="24">
        <v>8.3521968482905898E-2</v>
      </c>
      <c r="H25" s="24">
        <v>34.313186645507798</v>
      </c>
      <c r="I25" s="9"/>
    </row>
    <row r="26" spans="1:12" ht="15" thickBot="1">
      <c r="A26" s="8"/>
      <c r="B26" s="17"/>
      <c r="C26" s="10">
        <v>45</v>
      </c>
      <c r="D26" s="24">
        <v>4.9858940972222203E-2</v>
      </c>
      <c r="E26" s="24">
        <v>31.819387435913001</v>
      </c>
      <c r="F26" s="10">
        <v>45</v>
      </c>
      <c r="G26" s="24">
        <v>5.3235176282051197E-2</v>
      </c>
      <c r="H26" s="24">
        <v>32.925270080566399</v>
      </c>
      <c r="I26" s="2"/>
    </row>
    <row r="27" spans="1:12">
      <c r="A27" s="8"/>
      <c r="B27" s="15" t="s">
        <v>13</v>
      </c>
      <c r="C27" s="6">
        <v>27</v>
      </c>
      <c r="D27" s="24">
        <v>0.20293219150641001</v>
      </c>
      <c r="E27" s="24">
        <v>34.739761352538999</v>
      </c>
      <c r="F27" s="6">
        <v>27</v>
      </c>
      <c r="G27" s="24">
        <v>0.213974025106837</v>
      </c>
      <c r="H27" s="24">
        <v>35.309455871582003</v>
      </c>
      <c r="I27" s="7">
        <f>bdrate($D27:$D30,E27:E30,$G27:$G30,H27:H30)</f>
        <v>-0.18118244099092606</v>
      </c>
    </row>
    <row r="28" spans="1:12">
      <c r="A28" s="8"/>
      <c r="B28" s="16"/>
      <c r="C28" s="8">
        <v>32</v>
      </c>
      <c r="D28" s="24">
        <v>0.14119257478632399</v>
      </c>
      <c r="E28" s="24">
        <v>33.811141967773402</v>
      </c>
      <c r="F28" s="8">
        <v>32</v>
      </c>
      <c r="G28" s="24">
        <v>0.14977881276709401</v>
      </c>
      <c r="H28" s="24">
        <v>34.519222259521399</v>
      </c>
      <c r="I28" s="9"/>
    </row>
    <row r="29" spans="1:12">
      <c r="A29" s="8"/>
      <c r="B29" s="16"/>
      <c r="C29" s="8">
        <v>38</v>
      </c>
      <c r="D29" s="24">
        <v>9.9886485042734993E-2</v>
      </c>
      <c r="E29" s="24">
        <v>32.753860473632798</v>
      </c>
      <c r="F29" s="8">
        <v>38</v>
      </c>
      <c r="G29" s="24">
        <v>0.10715060763888801</v>
      </c>
      <c r="H29" s="24">
        <v>33.604583740234297</v>
      </c>
      <c r="I29" s="9"/>
    </row>
    <row r="30" spans="1:12" ht="15" thickBot="1">
      <c r="A30" s="8"/>
      <c r="B30" s="17"/>
      <c r="C30" s="10">
        <v>45</v>
      </c>
      <c r="D30" s="24">
        <v>6.2670272435897401E-2</v>
      </c>
      <c r="E30" s="24">
        <v>31.0444221496582</v>
      </c>
      <c r="F30" s="10">
        <v>45</v>
      </c>
      <c r="G30" s="24">
        <v>6.9599692841880306E-2</v>
      </c>
      <c r="H30" s="24">
        <v>32.119453430175703</v>
      </c>
      <c r="I30" s="2"/>
    </row>
    <row r="31" spans="1:12">
      <c r="A31" s="14"/>
      <c r="B31" s="15" t="s">
        <v>29</v>
      </c>
      <c r="C31" s="6">
        <v>27</v>
      </c>
      <c r="D31" s="24">
        <v>0.39725060096153803</v>
      </c>
      <c r="E31" s="24">
        <v>31.388912200927699</v>
      </c>
      <c r="F31" s="6">
        <v>27</v>
      </c>
      <c r="G31" s="24">
        <v>0.36040665064102501</v>
      </c>
      <c r="H31" s="24">
        <v>32.454494476318303</v>
      </c>
      <c r="I31" s="7">
        <f>bdrate($D31:$D34,E31:E34,$G31:$G34,H31:H34)</f>
        <v>-0.46203428945357194</v>
      </c>
    </row>
    <row r="32" spans="1:12">
      <c r="A32" s="14"/>
      <c r="B32" s="16"/>
      <c r="C32" s="8">
        <v>32</v>
      </c>
      <c r="D32" s="24">
        <v>0.26682775774572598</v>
      </c>
      <c r="E32" s="24">
        <v>30.264736175537099</v>
      </c>
      <c r="F32" s="8">
        <v>32</v>
      </c>
      <c r="G32" s="24">
        <v>0.23519547943376001</v>
      </c>
      <c r="H32" s="24">
        <v>31.599323272705</v>
      </c>
      <c r="I32" s="9"/>
    </row>
    <row r="33" spans="1:9">
      <c r="A33" s="8"/>
      <c r="B33" s="16"/>
      <c r="C33" s="8">
        <v>38</v>
      </c>
      <c r="D33" s="24">
        <v>0.18245108840811899</v>
      </c>
      <c r="E33" s="24">
        <v>29.153356552123999</v>
      </c>
      <c r="F33" s="8">
        <v>38</v>
      </c>
      <c r="G33" s="24">
        <v>0.16614583333333299</v>
      </c>
      <c r="H33" s="24">
        <v>30.6920070648193</v>
      </c>
      <c r="I33" s="9"/>
    </row>
    <row r="34" spans="1:9" ht="15" thickBot="1">
      <c r="A34" s="8"/>
      <c r="B34" s="17"/>
      <c r="C34" s="10">
        <v>45</v>
      </c>
      <c r="D34" s="24">
        <v>0.10890925480769199</v>
      </c>
      <c r="E34" s="24">
        <v>27.6265258789062</v>
      </c>
      <c r="F34" s="10">
        <v>45</v>
      </c>
      <c r="G34" s="24">
        <v>0.104974626068376</v>
      </c>
      <c r="H34" s="24">
        <v>29.3139114379882</v>
      </c>
      <c r="I34" s="2"/>
    </row>
    <row r="35" spans="1:9">
      <c r="A35" s="8"/>
      <c r="B35" s="15" t="s">
        <v>30</v>
      </c>
      <c r="C35" s="6">
        <v>27</v>
      </c>
      <c r="D35" s="24">
        <v>0.43841980502136702</v>
      </c>
      <c r="E35" s="24">
        <v>33.166545867919901</v>
      </c>
      <c r="F35" s="6">
        <v>27</v>
      </c>
      <c r="G35" s="24">
        <v>0.47650574252136702</v>
      </c>
      <c r="H35" s="24">
        <v>32.746879577636697</v>
      </c>
      <c r="I35" s="7">
        <f>bdrate($D35:$D38,E35:E38,$G35:$G38,H35:H38)</f>
        <v>0.21501394158811959</v>
      </c>
    </row>
    <row r="36" spans="1:9">
      <c r="A36" s="8"/>
      <c r="B36" s="16"/>
      <c r="C36" s="8">
        <v>32</v>
      </c>
      <c r="D36" s="24">
        <v>0.29450287126068297</v>
      </c>
      <c r="E36" s="24">
        <v>32.267864227294901</v>
      </c>
      <c r="F36" s="8">
        <v>32</v>
      </c>
      <c r="G36" s="24">
        <v>0.32905565571581102</v>
      </c>
      <c r="H36" s="24">
        <v>32.003887176513601</v>
      </c>
      <c r="I36" s="9"/>
    </row>
    <row r="37" spans="1:9">
      <c r="A37" s="8"/>
      <c r="B37" s="16"/>
      <c r="C37" s="8">
        <v>38</v>
      </c>
      <c r="D37" s="24">
        <v>0.18737229567307601</v>
      </c>
      <c r="E37" s="24">
        <v>31.106258392333899</v>
      </c>
      <c r="F37" s="8">
        <v>38</v>
      </c>
      <c r="G37" s="24">
        <v>0.221316606570512</v>
      </c>
      <c r="H37" s="24">
        <v>31.071310043334901</v>
      </c>
      <c r="I37" s="9"/>
    </row>
    <row r="38" spans="1:9" ht="15" thickBot="1">
      <c r="A38" s="8"/>
      <c r="B38" s="17"/>
      <c r="C38" s="10">
        <v>45</v>
      </c>
      <c r="D38" s="24">
        <v>0.105884415064102</v>
      </c>
      <c r="E38" s="24">
        <v>29.440130233764599</v>
      </c>
      <c r="F38" s="10">
        <v>45</v>
      </c>
      <c r="G38" s="24">
        <v>0.13373898237179399</v>
      </c>
      <c r="H38" s="24">
        <v>29.664699554443299</v>
      </c>
      <c r="I38" s="2"/>
    </row>
    <row r="39" spans="1:9">
      <c r="A39" s="20" t="s">
        <v>8</v>
      </c>
      <c r="B39" s="15" t="s">
        <v>14</v>
      </c>
      <c r="C39" s="6">
        <v>27</v>
      </c>
      <c r="D39" s="24">
        <v>0.18964009081196501</v>
      </c>
      <c r="E39" s="24">
        <v>36.120231628417898</v>
      </c>
      <c r="F39" s="6">
        <v>27</v>
      </c>
      <c r="G39" s="24">
        <v>0.18791065705128199</v>
      </c>
      <c r="H39" s="24">
        <v>36.770111083984297</v>
      </c>
      <c r="I39" s="7">
        <f>bdrate($D39:$D42,E39:E42,$G39:$G42,H39:H42)</f>
        <v>-0.19728148522589373</v>
      </c>
    </row>
    <row r="40" spans="1:9">
      <c r="A40" s="14" t="s">
        <v>9</v>
      </c>
      <c r="B40" s="16"/>
      <c r="C40" s="8">
        <v>32</v>
      </c>
      <c r="D40" s="24">
        <v>0.13537994123931599</v>
      </c>
      <c r="E40" s="24">
        <v>35.041999816894503</v>
      </c>
      <c r="F40" s="8">
        <v>32</v>
      </c>
      <c r="G40" s="24">
        <v>0.13548344017093999</v>
      </c>
      <c r="H40" s="24">
        <v>35.8191528320312</v>
      </c>
      <c r="I40" s="9"/>
    </row>
    <row r="41" spans="1:9">
      <c r="A41" s="8"/>
      <c r="B41" s="16"/>
      <c r="C41" s="8">
        <v>38</v>
      </c>
      <c r="D41" s="24">
        <v>9.5586271367521305E-2</v>
      </c>
      <c r="E41" s="24">
        <v>33.824668884277301</v>
      </c>
      <c r="F41" s="8">
        <v>38</v>
      </c>
      <c r="G41" s="24">
        <v>9.7402510683760601E-2</v>
      </c>
      <c r="H41" s="24">
        <v>34.683616638183501</v>
      </c>
      <c r="I41" s="9"/>
    </row>
    <row r="42" spans="1:9" ht="15" thickBot="1">
      <c r="A42" s="8"/>
      <c r="B42" s="17"/>
      <c r="C42" s="10">
        <v>45</v>
      </c>
      <c r="D42" s="24">
        <v>5.9728899572649499E-2</v>
      </c>
      <c r="E42" s="24">
        <v>31.920585632324201</v>
      </c>
      <c r="F42" s="10">
        <v>45</v>
      </c>
      <c r="G42" s="24">
        <v>6.2279647435897402E-2</v>
      </c>
      <c r="H42" s="24">
        <v>32.918300628662102</v>
      </c>
      <c r="I42" s="2"/>
    </row>
    <row r="43" spans="1:9">
      <c r="A43" s="8"/>
      <c r="B43" s="15" t="s">
        <v>19</v>
      </c>
      <c r="C43" s="6">
        <v>27</v>
      </c>
      <c r="D43" s="24">
        <v>0.30197315705128203</v>
      </c>
      <c r="E43" s="24">
        <v>32.797653198242102</v>
      </c>
      <c r="F43" s="6">
        <v>27</v>
      </c>
      <c r="G43" s="24">
        <v>0.25926482371794801</v>
      </c>
      <c r="H43" s="24">
        <v>33.753532409667898</v>
      </c>
      <c r="I43" s="7">
        <f>bdrate($D43:$D46,E43:E46,$G43:$G46,H43:H46)</f>
        <v>-0.45159087503725659</v>
      </c>
    </row>
    <row r="44" spans="1:9">
      <c r="A44" s="8"/>
      <c r="B44" s="16"/>
      <c r="C44" s="8">
        <v>32</v>
      </c>
      <c r="D44" s="24">
        <v>0.199098557692307</v>
      </c>
      <c r="E44" s="24">
        <v>31.6095657348632</v>
      </c>
      <c r="F44" s="8">
        <v>32</v>
      </c>
      <c r="G44" s="24">
        <v>0.17297008547008499</v>
      </c>
      <c r="H44" s="24">
        <v>32.864547729492102</v>
      </c>
      <c r="I44" s="9"/>
    </row>
    <row r="45" spans="1:9">
      <c r="A45" s="8"/>
      <c r="B45" s="16"/>
      <c r="C45" s="8">
        <v>38</v>
      </c>
      <c r="D45" s="24">
        <v>0.13370058760683701</v>
      </c>
      <c r="E45" s="24">
        <v>30.422903060913001</v>
      </c>
      <c r="F45" s="8">
        <v>38</v>
      </c>
      <c r="G45" s="24">
        <v>0.11912727029914499</v>
      </c>
      <c r="H45" s="24">
        <v>31.884201049804599</v>
      </c>
      <c r="I45" s="9"/>
    </row>
    <row r="46" spans="1:9" ht="15" thickBot="1">
      <c r="A46" s="8"/>
      <c r="B46" s="17"/>
      <c r="C46" s="10">
        <v>45</v>
      </c>
      <c r="D46" s="24">
        <v>7.8472222222222193E-2</v>
      </c>
      <c r="E46" s="24">
        <v>28.700370788574201</v>
      </c>
      <c r="F46" s="10">
        <v>45</v>
      </c>
      <c r="G46" s="24">
        <v>7.3844818376068294E-2</v>
      </c>
      <c r="H46" s="24">
        <v>30.389913558959901</v>
      </c>
      <c r="I46" s="2"/>
    </row>
    <row r="47" spans="1:9">
      <c r="A47" s="14"/>
      <c r="B47" s="15" t="s">
        <v>15</v>
      </c>
      <c r="C47" s="6">
        <v>27</v>
      </c>
      <c r="D47" s="24">
        <v>0.30123530982905899</v>
      </c>
      <c r="E47" s="24">
        <v>32.879756927490199</v>
      </c>
      <c r="F47" s="6">
        <v>27</v>
      </c>
      <c r="G47" s="24">
        <v>0.20791599893162299</v>
      </c>
      <c r="H47" s="24">
        <v>34.258644104003899</v>
      </c>
      <c r="I47" s="7">
        <f>bdrate($D47:$D50,E47:E50,$G47:$G50,H47:H50)</f>
        <v>-0.64669444812959087</v>
      </c>
    </row>
    <row r="48" spans="1:9">
      <c r="A48" s="14"/>
      <c r="B48" s="16"/>
      <c r="C48" s="8">
        <v>32</v>
      </c>
      <c r="D48" s="24">
        <v>0.199121928418803</v>
      </c>
      <c r="E48" s="24">
        <v>31.612928390502901</v>
      </c>
      <c r="F48" s="8">
        <v>32</v>
      </c>
      <c r="G48" s="24">
        <v>0.13011485042734999</v>
      </c>
      <c r="H48" s="24">
        <v>33.308174133300703</v>
      </c>
      <c r="I48" s="9"/>
    </row>
    <row r="49" spans="1:9">
      <c r="A49" s="8"/>
      <c r="B49" s="16"/>
      <c r="C49" s="8">
        <v>38</v>
      </c>
      <c r="D49" s="24">
        <v>0.13046541132478601</v>
      </c>
      <c r="E49" s="24">
        <v>30.2335491180419</v>
      </c>
      <c r="F49" s="8">
        <v>38</v>
      </c>
      <c r="G49" s="24">
        <v>8.6665331196581194E-2</v>
      </c>
      <c r="H49" s="24">
        <v>32.294708251953097</v>
      </c>
      <c r="I49" s="9"/>
    </row>
    <row r="50" spans="1:9" ht="15" thickBot="1">
      <c r="A50" s="8"/>
      <c r="B50" s="17"/>
      <c r="C50" s="10">
        <v>45</v>
      </c>
      <c r="D50" s="24">
        <v>7.5540865384615297E-2</v>
      </c>
      <c r="E50" s="24">
        <v>28.373455047607401</v>
      </c>
      <c r="F50" s="10">
        <v>45</v>
      </c>
      <c r="G50" s="24">
        <v>5.69544604700854E-2</v>
      </c>
      <c r="H50" s="24">
        <v>30.816022872924801</v>
      </c>
      <c r="I50" s="2"/>
    </row>
    <row r="51" spans="1:9">
      <c r="A51" s="8"/>
      <c r="B51" s="15" t="s">
        <v>20</v>
      </c>
      <c r="C51" s="6">
        <v>27</v>
      </c>
      <c r="D51" s="24">
        <v>0.41608239850427298</v>
      </c>
      <c r="E51" s="24">
        <v>34.130081176757798</v>
      </c>
      <c r="F51" s="6">
        <v>27</v>
      </c>
      <c r="G51" s="24">
        <v>0.45170940170940099</v>
      </c>
      <c r="H51" s="24">
        <v>33.947311401367102</v>
      </c>
      <c r="I51" s="7">
        <f>bdrate($D51:$D54,E51:E54,$G51:$G54,H51:H54)</f>
        <v>7.9659781157640275E-2</v>
      </c>
    </row>
    <row r="52" spans="1:9">
      <c r="A52" s="8"/>
      <c r="B52" s="16"/>
      <c r="C52" s="8">
        <v>32</v>
      </c>
      <c r="D52" s="24">
        <v>0.286942441239316</v>
      </c>
      <c r="E52" s="24">
        <v>32.937938690185497</v>
      </c>
      <c r="F52" s="8">
        <v>32</v>
      </c>
      <c r="G52" s="24">
        <v>0.31802884615384602</v>
      </c>
      <c r="H52" s="24">
        <v>32.975093841552699</v>
      </c>
      <c r="I52" s="9"/>
    </row>
    <row r="53" spans="1:9">
      <c r="A53" s="8"/>
      <c r="B53" s="16"/>
      <c r="C53" s="8">
        <v>38</v>
      </c>
      <c r="D53" s="24">
        <v>0.19703525641025599</v>
      </c>
      <c r="E53" s="24">
        <v>31.568296432495099</v>
      </c>
      <c r="F53" s="8">
        <v>38</v>
      </c>
      <c r="G53" s="24">
        <v>0.223908253205128</v>
      </c>
      <c r="H53" s="24">
        <v>31.806022644042901</v>
      </c>
      <c r="I53" s="9"/>
    </row>
    <row r="54" spans="1:9" ht="15" thickBot="1">
      <c r="A54" s="8"/>
      <c r="B54" s="17"/>
      <c r="C54" s="10">
        <v>45</v>
      </c>
      <c r="D54" s="24">
        <v>0.117561431623931</v>
      </c>
      <c r="E54" s="24">
        <v>29.6521797180175</v>
      </c>
      <c r="F54" s="10">
        <v>45</v>
      </c>
      <c r="G54" s="24">
        <v>0.13771033653846099</v>
      </c>
      <c r="H54" s="24">
        <v>30.0337524414062</v>
      </c>
      <c r="I54" s="2"/>
    </row>
    <row r="55" spans="1:9">
      <c r="A55" s="20" t="s">
        <v>10</v>
      </c>
      <c r="B55" s="15" t="s">
        <v>16</v>
      </c>
      <c r="C55" s="6">
        <v>27</v>
      </c>
      <c r="D55" s="24">
        <v>3.8115596064814801E-2</v>
      </c>
      <c r="E55" s="24">
        <v>38.637443542480398</v>
      </c>
      <c r="F55" s="6">
        <v>27</v>
      </c>
      <c r="G55" s="24">
        <v>3.4354745370370303E-2</v>
      </c>
      <c r="H55" s="24">
        <v>39.529769897460902</v>
      </c>
      <c r="I55" s="7">
        <f>bdrate($D55:$D58,E55:E58,$G55:$G58,H55:H58)</f>
        <v>-0.38417965940120236</v>
      </c>
    </row>
    <row r="56" spans="1:9">
      <c r="A56" s="14" t="s">
        <v>11</v>
      </c>
      <c r="B56" s="16"/>
      <c r="C56" s="8">
        <v>32</v>
      </c>
      <c r="D56" s="24">
        <v>2.6616753472222199E-2</v>
      </c>
      <c r="E56" s="24">
        <v>37.999210357666001</v>
      </c>
      <c r="F56" s="8">
        <v>32</v>
      </c>
      <c r="G56" s="24">
        <v>2.4573929398148099E-2</v>
      </c>
      <c r="H56" s="24">
        <v>39.034282684326101</v>
      </c>
      <c r="I56" s="9"/>
    </row>
    <row r="57" spans="1:9">
      <c r="A57" s="8"/>
      <c r="B57" s="16"/>
      <c r="C57" s="8">
        <v>38</v>
      </c>
      <c r="D57" s="24">
        <v>1.9542824074074001E-2</v>
      </c>
      <c r="E57" s="24">
        <v>37.205001831054602</v>
      </c>
      <c r="F57" s="8">
        <v>38</v>
      </c>
      <c r="G57" s="24">
        <v>1.8317780671296201E-2</v>
      </c>
      <c r="H57" s="24">
        <v>38.366252899169901</v>
      </c>
      <c r="I57" s="9"/>
    </row>
    <row r="58" spans="1:9" ht="15" thickBot="1">
      <c r="A58" s="8"/>
      <c r="B58" s="17"/>
      <c r="C58" s="10">
        <v>45</v>
      </c>
      <c r="D58" s="24">
        <v>1.37033420138888E-2</v>
      </c>
      <c r="E58" s="24">
        <v>35.718410491943303</v>
      </c>
      <c r="F58" s="10">
        <v>45</v>
      </c>
      <c r="G58" s="24">
        <v>1.30327690972222E-2</v>
      </c>
      <c r="H58" s="24">
        <v>37.10347366333</v>
      </c>
      <c r="I58" s="2"/>
    </row>
    <row r="59" spans="1:9">
      <c r="A59" s="8"/>
      <c r="B59" s="15" t="s">
        <v>17</v>
      </c>
      <c r="C59" s="6">
        <v>27</v>
      </c>
      <c r="D59" s="24">
        <v>2.85101996527777E-2</v>
      </c>
      <c r="E59" s="24">
        <v>38.910476684570298</v>
      </c>
      <c r="F59" s="6">
        <v>27</v>
      </c>
      <c r="G59" s="24">
        <v>2.5199652777777699E-2</v>
      </c>
      <c r="H59" s="24">
        <v>39.756744384765597</v>
      </c>
      <c r="I59" s="7">
        <f>bdrate($D59:$D62,E59:E62,$G59:$G62,H59:H62)</f>
        <v>-0.4517411505082034</v>
      </c>
    </row>
    <row r="60" spans="1:9">
      <c r="A60" s="8"/>
      <c r="B60" s="16"/>
      <c r="C60" s="8">
        <v>32</v>
      </c>
      <c r="D60" s="24">
        <v>1.89735243055555E-2</v>
      </c>
      <c r="E60" s="24">
        <v>38.380584716796797</v>
      </c>
      <c r="F60" s="8">
        <v>32</v>
      </c>
      <c r="G60" s="24">
        <v>1.7516276041666601E-2</v>
      </c>
      <c r="H60" s="24">
        <v>39.396709442138601</v>
      </c>
      <c r="I60" s="9"/>
    </row>
    <row r="61" spans="1:9">
      <c r="A61" s="8"/>
      <c r="B61" s="16"/>
      <c r="C61" s="8">
        <v>38</v>
      </c>
      <c r="D61" s="24">
        <v>1.3864293981481399E-2</v>
      </c>
      <c r="E61" s="24">
        <v>37.796432495117102</v>
      </c>
      <c r="F61" s="8">
        <v>38</v>
      </c>
      <c r="G61" s="24">
        <v>1.31040219907407E-2</v>
      </c>
      <c r="H61" s="24">
        <v>38.905838012695298</v>
      </c>
      <c r="I61" s="9"/>
    </row>
    <row r="62" spans="1:9" ht="15" thickBot="1">
      <c r="A62" s="8"/>
      <c r="B62" s="17"/>
      <c r="C62" s="10">
        <v>45</v>
      </c>
      <c r="D62" s="24">
        <v>9.7753906249999998E-3</v>
      </c>
      <c r="E62" s="24">
        <v>36.653110504150298</v>
      </c>
      <c r="F62" s="10">
        <v>45</v>
      </c>
      <c r="G62" s="24">
        <v>9.4505931712962898E-3</v>
      </c>
      <c r="H62" s="24">
        <v>37.941993713378899</v>
      </c>
      <c r="I62" s="2"/>
    </row>
    <row r="63" spans="1:9">
      <c r="A63" s="8"/>
      <c r="B63" s="15" t="s">
        <v>21</v>
      </c>
      <c r="C63" s="6">
        <v>27</v>
      </c>
      <c r="D63" s="24">
        <v>3.2752097800925903E-2</v>
      </c>
      <c r="E63" s="24">
        <v>39.020072937011697</v>
      </c>
      <c r="F63" s="6">
        <v>27</v>
      </c>
      <c r="G63" s="24">
        <v>2.84045862268518E-2</v>
      </c>
      <c r="H63" s="24">
        <v>39.940261840820298</v>
      </c>
      <c r="I63" s="7">
        <f>bdrate($D63:$D66,E63:E66,$G63:$G66,H63:H66)</f>
        <v>-0.45252794262390916</v>
      </c>
    </row>
    <row r="64" spans="1:9">
      <c r="A64" s="8"/>
      <c r="B64" s="16"/>
      <c r="C64" s="8">
        <v>32</v>
      </c>
      <c r="D64" s="24">
        <v>2.1720196759259201E-2</v>
      </c>
      <c r="E64" s="24">
        <v>38.345558166503899</v>
      </c>
      <c r="F64" s="8">
        <v>32</v>
      </c>
      <c r="G64" s="24">
        <v>1.96849681712962E-2</v>
      </c>
      <c r="H64" s="24">
        <v>39.480194091796797</v>
      </c>
      <c r="I64" s="9"/>
    </row>
    <row r="65" spans="1:9">
      <c r="A65" s="8"/>
      <c r="B65" s="16"/>
      <c r="C65" s="8">
        <v>38</v>
      </c>
      <c r="D65" s="24">
        <v>1.56731047453703E-2</v>
      </c>
      <c r="E65" s="24">
        <v>37.61669921875</v>
      </c>
      <c r="F65" s="8">
        <v>38</v>
      </c>
      <c r="G65" s="24">
        <v>1.45782696759259E-2</v>
      </c>
      <c r="H65" s="24">
        <v>38.877201080322202</v>
      </c>
      <c r="I65" s="9"/>
    </row>
    <row r="66" spans="1:9" ht="15" thickBot="1">
      <c r="A66" s="8"/>
      <c r="B66" s="17"/>
      <c r="C66" s="10">
        <v>45</v>
      </c>
      <c r="D66" s="24">
        <v>1.09653501157407E-2</v>
      </c>
      <c r="E66" s="24">
        <v>36.334205627441399</v>
      </c>
      <c r="F66" s="10">
        <v>45</v>
      </c>
      <c r="G66" s="24">
        <v>1.04817708333333E-2</v>
      </c>
      <c r="H66" s="24">
        <v>37.781734466552699</v>
      </c>
      <c r="I66" s="2"/>
    </row>
    <row r="67" spans="1:9" ht="15" thickBot="1">
      <c r="A67" s="11"/>
      <c r="B67" s="4" t="s">
        <v>2</v>
      </c>
      <c r="C67" s="18"/>
      <c r="D67" s="11"/>
      <c r="E67" s="18"/>
      <c r="F67" s="18"/>
      <c r="G67" s="11"/>
      <c r="H67" s="18"/>
      <c r="I67" s="19">
        <f>AVERAGE(I3:I66)</f>
        <v>-0.26262271034416029</v>
      </c>
    </row>
    <row r="68" spans="1:9">
      <c r="A68" s="9"/>
      <c r="B68" s="8" t="s">
        <v>4</v>
      </c>
      <c r="C68" s="1"/>
      <c r="D68" s="1"/>
      <c r="E68" s="1"/>
      <c r="F68" s="1"/>
      <c r="G68" s="9"/>
      <c r="H68" s="1"/>
      <c r="I68" s="23">
        <f>AVERAGE(I3:I22)</f>
        <v>-0.1985924162468295</v>
      </c>
    </row>
    <row r="69" spans="1:9">
      <c r="A69" s="12"/>
      <c r="B69" s="12" t="s">
        <v>6</v>
      </c>
      <c r="C69" s="12"/>
      <c r="D69" s="12"/>
      <c r="E69" s="12"/>
      <c r="F69" s="12"/>
      <c r="G69" s="12"/>
      <c r="H69" s="12"/>
      <c r="I69" s="23">
        <f>AVERAGE(I23:I38)</f>
        <v>-0.17616137612600036</v>
      </c>
    </row>
    <row r="70" spans="1:9">
      <c r="A70" s="12"/>
      <c r="B70" s="12" t="s">
        <v>8</v>
      </c>
      <c r="C70" s="12"/>
      <c r="D70" s="12"/>
      <c r="E70" s="12"/>
      <c r="F70" s="12"/>
      <c r="G70" s="12"/>
      <c r="H70" s="12"/>
      <c r="I70" s="23">
        <f>AVERAGE(I39:I54)</f>
        <v>-0.30397675680877523</v>
      </c>
    </row>
    <row r="71" spans="1:9">
      <c r="A71" s="12"/>
      <c r="B71" s="12" t="s">
        <v>10</v>
      </c>
      <c r="C71" s="12"/>
      <c r="D71" s="12"/>
      <c r="E71" s="12"/>
      <c r="F71" s="12"/>
      <c r="G71" s="12"/>
      <c r="H71" s="12"/>
      <c r="I71" s="23">
        <f>AVERAGE(I55:I66)</f>
        <v>-0.42948291751110501</v>
      </c>
    </row>
    <row r="72" spans="1:9" ht="15" thickBot="1">
      <c r="A72" s="12"/>
      <c r="B72" s="12"/>
      <c r="C72" s="12"/>
      <c r="D72" s="12"/>
      <c r="E72" s="12"/>
      <c r="F72" s="12"/>
      <c r="G72" s="12"/>
      <c r="H72" s="12"/>
    </row>
    <row r="73" spans="1:9">
      <c r="A73" s="12"/>
      <c r="B73" s="12" t="s">
        <v>4</v>
      </c>
      <c r="C73" s="12"/>
      <c r="D73" s="12">
        <f>AVERAGE(D3,D7,D11,D15,D19)</f>
        <v>0.15200318287036979</v>
      </c>
      <c r="E73" s="12">
        <f>AVERAGE(E3,E7,E11,E15,E19)</f>
        <v>35.325170135497999</v>
      </c>
      <c r="F73" s="12"/>
      <c r="G73" s="12">
        <f>AVERAGE(G3,G7,G11,G15,G19)</f>
        <v>0.14698710776748919</v>
      </c>
      <c r="H73" s="12">
        <f>AVERAGE(H3,H7,H11,H15,H19)</f>
        <v>35.609298706054645</v>
      </c>
      <c r="I73" s="7">
        <f>bdrate($D73:$D76,E73:E76,$G73:$G76,H73:H76)</f>
        <v>-0.22226333872746717</v>
      </c>
    </row>
    <row r="74" spans="1:9">
      <c r="A74" s="12"/>
      <c r="B74" s="12"/>
      <c r="C74" s="12"/>
      <c r="D74" s="12">
        <f t="shared" ref="D74:E76" si="0">AVERAGE(D4,D8,D12,D16,D20)</f>
        <v>9.3765496399176834E-2</v>
      </c>
      <c r="E74" s="12">
        <f t="shared" si="0"/>
        <v>34.540579223632754</v>
      </c>
      <c r="F74" s="12"/>
      <c r="G74" s="12">
        <f t="shared" ref="G74:H76" si="1">AVERAGE(G4,G8,G12,G16,G20)</f>
        <v>9.2666634516460761E-2</v>
      </c>
      <c r="H74" s="12">
        <f t="shared" si="1"/>
        <v>34.975782775878862</v>
      </c>
    </row>
    <row r="75" spans="1:9">
      <c r="A75" s="12"/>
      <c r="B75" s="12"/>
      <c r="C75" s="12"/>
      <c r="D75" s="12">
        <f t="shared" si="0"/>
        <v>6.1649369855967043E-2</v>
      </c>
      <c r="E75" s="12">
        <f t="shared" si="0"/>
        <v>33.718069458007761</v>
      </c>
      <c r="F75" s="12"/>
      <c r="G75" s="12">
        <f t="shared" si="1"/>
        <v>6.2803626543209826E-2</v>
      </c>
      <c r="H75" s="12">
        <f t="shared" si="1"/>
        <v>34.27566223144526</v>
      </c>
    </row>
    <row r="76" spans="1:9" ht="15" thickBot="1">
      <c r="A76" s="12"/>
      <c r="B76" s="12"/>
      <c r="C76" s="12"/>
      <c r="D76" s="12">
        <f t="shared" si="0"/>
        <v>3.6967174639917659E-2</v>
      </c>
      <c r="E76" s="12">
        <f t="shared" si="0"/>
        <v>32.476005554199176</v>
      </c>
      <c r="F76" s="12"/>
      <c r="G76" s="12">
        <f t="shared" si="1"/>
        <v>3.9185024434156342E-2</v>
      </c>
      <c r="H76" s="12">
        <f t="shared" si="1"/>
        <v>33.176176452636703</v>
      </c>
    </row>
    <row r="77" spans="1:9">
      <c r="A77" s="12"/>
      <c r="B77" s="12" t="s">
        <v>6</v>
      </c>
      <c r="C77" s="12"/>
      <c r="D77" s="12">
        <f>AVERAGE(D23,D27,D31,D35)</f>
        <v>0.30043694911858926</v>
      </c>
      <c r="E77" s="12">
        <f>AVERAGE(E23,E27,E31,E35)</f>
        <v>33.600351333618121</v>
      </c>
      <c r="F77" s="12"/>
      <c r="G77" s="12">
        <f>AVERAGE(G23,G27,G31,G35)</f>
        <v>0.30419880141559774</v>
      </c>
      <c r="H77" s="12">
        <f>AVERAGE(H23,H27,H31,H35)</f>
        <v>34.104648590087848</v>
      </c>
      <c r="I77" s="7">
        <f>bdrate($D77:$D80,E77:E80,$G77:$G80,H77:H80)</f>
        <v>-0.22118260684851088</v>
      </c>
    </row>
    <row r="78" spans="1:9">
      <c r="A78" s="12"/>
      <c r="B78" s="12"/>
      <c r="C78" s="12"/>
      <c r="D78" s="12">
        <f t="shared" ref="D78:E80" si="2">AVERAGE(D24,D28,D32,D36)</f>
        <v>0.20401600894764899</v>
      </c>
      <c r="E78" s="12">
        <f t="shared" si="2"/>
        <v>32.648040771484354</v>
      </c>
      <c r="F78" s="12"/>
      <c r="G78" s="12">
        <f t="shared" ref="G78:H80" si="3">AVERAGE(G24,G28,G32,G36)</f>
        <v>0.20780853532318327</v>
      </c>
      <c r="H78" s="12">
        <f t="shared" si="3"/>
        <v>33.327173233032156</v>
      </c>
    </row>
    <row r="79" spans="1:9">
      <c r="D79" s="12">
        <f t="shared" si="2"/>
        <v>0.13733577891292692</v>
      </c>
      <c r="E79" s="12">
        <f t="shared" si="2"/>
        <v>31.573012828826872</v>
      </c>
      <c r="G79" s="12">
        <f t="shared" si="3"/>
        <v>0.14453375400640972</v>
      </c>
      <c r="H79" s="12">
        <f t="shared" si="3"/>
        <v>32.420271873474078</v>
      </c>
    </row>
    <row r="80" spans="1:9" ht="15" thickBot="1">
      <c r="D80" s="12">
        <f t="shared" si="2"/>
        <v>8.18307208199784E-2</v>
      </c>
      <c r="E80" s="12">
        <f t="shared" si="2"/>
        <v>29.982616424560497</v>
      </c>
      <c r="G80" s="12">
        <f t="shared" si="3"/>
        <v>9.0387119391025367E-2</v>
      </c>
      <c r="H80" s="12">
        <f t="shared" si="3"/>
        <v>31.0058336257934</v>
      </c>
    </row>
    <row r="81" spans="2:9">
      <c r="B81" t="s">
        <v>8</v>
      </c>
      <c r="D81" s="12">
        <f>AVERAGE(D39,D43,D47,D51)</f>
        <v>0.30223273904914472</v>
      </c>
      <c r="E81" s="12">
        <f>AVERAGE(E39,E43,E47,E51)</f>
        <v>33.981930732726994</v>
      </c>
      <c r="G81" s="12">
        <f>AVERAGE(G39,G43,G47,G51)</f>
        <v>0.27670022035256348</v>
      </c>
      <c r="H81" s="12">
        <f>AVERAGE(H39,H43,H47,H51)</f>
        <v>34.682399749755803</v>
      </c>
      <c r="I81" s="7">
        <f>bdrate($D81:$D84,E81:E84,$G81:$G84,H81:H84)</f>
        <v>-0.32677681019509663</v>
      </c>
    </row>
    <row r="82" spans="2:9">
      <c r="D82" s="12">
        <f t="shared" ref="D82:E84" si="4">AVERAGE(D40,D44,D48,D52)</f>
        <v>0.2051357171474355</v>
      </c>
      <c r="E82" s="12">
        <f t="shared" si="4"/>
        <v>32.800608158111523</v>
      </c>
      <c r="G82" s="12">
        <f t="shared" ref="G82:H84" si="5">AVERAGE(G40,G44,G48,G52)</f>
        <v>0.18914930555555526</v>
      </c>
      <c r="H82" s="12">
        <f t="shared" si="5"/>
        <v>33.741742134094174</v>
      </c>
    </row>
    <row r="83" spans="2:9">
      <c r="D83" s="12">
        <f t="shared" si="4"/>
        <v>0.13919688167735006</v>
      </c>
      <c r="E83" s="12">
        <f t="shared" si="4"/>
        <v>31.512354373931824</v>
      </c>
      <c r="G83" s="12">
        <f t="shared" si="5"/>
        <v>0.13177584134615369</v>
      </c>
      <c r="H83" s="12">
        <f t="shared" si="5"/>
        <v>32.667137145996023</v>
      </c>
    </row>
    <row r="84" spans="2:9" ht="15" thickBot="1">
      <c r="D84" s="12">
        <f t="shared" si="4"/>
        <v>8.2825854700854504E-2</v>
      </c>
      <c r="E84" s="12">
        <f t="shared" si="4"/>
        <v>29.661647796630824</v>
      </c>
      <c r="G84" s="12">
        <f t="shared" si="5"/>
        <v>8.2697315705128019E-2</v>
      </c>
      <c r="H84" s="12">
        <f t="shared" si="5"/>
        <v>31.039497375488253</v>
      </c>
    </row>
    <row r="85" spans="2:9">
      <c r="B85" t="s">
        <v>10</v>
      </c>
      <c r="D85" s="12">
        <f>AVERAGE(D55,D59,D63)</f>
        <v>3.3125964506172799E-2</v>
      </c>
      <c r="E85" s="12">
        <f>AVERAGE(E55,E59,E63)</f>
        <v>38.855997721354129</v>
      </c>
      <c r="G85" s="12">
        <f>AVERAGE(G55,G59,G63)</f>
        <v>2.9319661458333268E-2</v>
      </c>
      <c r="H85" s="12">
        <f>AVERAGE(H55,H59,H63)</f>
        <v>39.742258707682268</v>
      </c>
      <c r="I85" s="7">
        <f>bdrate($D85:$D88,E85:E88,$G85:$G88,H85:H88)</f>
        <v>-0.42671422388219016</v>
      </c>
    </row>
    <row r="86" spans="2:9">
      <c r="D86" s="12">
        <f t="shared" ref="D86:E88" si="6">AVERAGE(D56,D60,D64)</f>
        <v>2.2436824845678965E-2</v>
      </c>
      <c r="E86" s="12">
        <f t="shared" si="6"/>
        <v>38.241784413655573</v>
      </c>
      <c r="G86" s="12">
        <f t="shared" ref="G86:H88" si="7">AVERAGE(G56,G60,G64)</f>
        <v>2.0591724537036966E-2</v>
      </c>
      <c r="H86" s="12">
        <f t="shared" si="7"/>
        <v>39.303728739420499</v>
      </c>
    </row>
    <row r="87" spans="2:9">
      <c r="D87" s="12">
        <f t="shared" si="6"/>
        <v>1.6360074266975232E-2</v>
      </c>
      <c r="E87" s="12">
        <f t="shared" si="6"/>
        <v>37.539377848307232</v>
      </c>
      <c r="G87" s="12">
        <f t="shared" si="7"/>
        <v>1.53333574459876E-2</v>
      </c>
      <c r="H87" s="12">
        <f t="shared" si="7"/>
        <v>38.716430664062472</v>
      </c>
    </row>
    <row r="88" spans="2:9">
      <c r="D88" s="12">
        <f t="shared" si="6"/>
        <v>1.1481360918209832E-2</v>
      </c>
      <c r="E88" s="12">
        <f t="shared" si="6"/>
        <v>36.235242207845005</v>
      </c>
      <c r="G88" s="12">
        <f t="shared" si="7"/>
        <v>1.0988377700617264E-2</v>
      </c>
      <c r="H88" s="12">
        <f t="shared" si="7"/>
        <v>37.609067281087199</v>
      </c>
    </row>
  </sheetData>
  <mergeCells count="2">
    <mergeCell ref="D1:E1"/>
    <mergeCell ref="G1:H1"/>
  </mergeCells>
  <phoneticPr fontId="1" type="noConversion"/>
  <conditionalFormatting sqref="I67">
    <cfRule type="cellIs" dxfId="4009" priority="345" operator="greaterThan">
      <formula>0.03</formula>
    </cfRule>
    <cfRule type="cellIs" dxfId="4008" priority="346" stopIfTrue="1" operator="lessThan">
      <formula>-0.03</formula>
    </cfRule>
  </conditionalFormatting>
  <conditionalFormatting sqref="I67">
    <cfRule type="cellIs" dxfId="4007" priority="343" operator="greaterThan">
      <formula>0.03</formula>
    </cfRule>
    <cfRule type="cellIs" dxfId="4006" priority="344" stopIfTrue="1" operator="lessThan">
      <formula>-0.03</formula>
    </cfRule>
  </conditionalFormatting>
  <conditionalFormatting sqref="I67">
    <cfRule type="cellIs" dxfId="4005" priority="341" operator="greaterThan">
      <formula>0.03</formula>
    </cfRule>
    <cfRule type="cellIs" dxfId="4004" priority="342" stopIfTrue="1" operator="lessThan">
      <formula>-0.03</formula>
    </cfRule>
  </conditionalFormatting>
  <conditionalFormatting sqref="I67">
    <cfRule type="cellIs" dxfId="4003" priority="349" operator="greaterThan">
      <formula>0.03</formula>
    </cfRule>
    <cfRule type="cellIs" dxfId="4002" priority="350" stopIfTrue="1" operator="lessThan">
      <formula>-0.03</formula>
    </cfRule>
  </conditionalFormatting>
  <conditionalFormatting sqref="I67">
    <cfRule type="cellIs" dxfId="4001" priority="347" operator="greaterThan">
      <formula>0.03</formula>
    </cfRule>
    <cfRule type="cellIs" dxfId="4000" priority="348" stopIfTrue="1" operator="lessThan">
      <formula>-0.03</formula>
    </cfRule>
  </conditionalFormatting>
  <conditionalFormatting sqref="I12:I14 I16:I18">
    <cfRule type="cellIs" dxfId="3999" priority="329" operator="greaterThan">
      <formula>0.03</formula>
    </cfRule>
    <cfRule type="cellIs" dxfId="3998" priority="330" stopIfTrue="1" operator="lessThan">
      <formula>-0.03</formula>
    </cfRule>
  </conditionalFormatting>
  <conditionalFormatting sqref="I12:I14 I16:I18">
    <cfRule type="cellIs" dxfId="3997" priority="327" operator="greaterThan">
      <formula>0.03</formula>
    </cfRule>
    <cfRule type="cellIs" dxfId="3996" priority="328" stopIfTrue="1" operator="lessThan">
      <formula>-0.03</formula>
    </cfRule>
  </conditionalFormatting>
  <conditionalFormatting sqref="I28:I30">
    <cfRule type="cellIs" dxfId="3995" priority="299" operator="greaterThan">
      <formula>0.03</formula>
    </cfRule>
    <cfRule type="cellIs" dxfId="3994" priority="300" stopIfTrue="1" operator="lessThan">
      <formula>-0.03</formula>
    </cfRule>
  </conditionalFormatting>
  <conditionalFormatting sqref="I28:I30">
    <cfRule type="cellIs" dxfId="3993" priority="297" operator="greaterThan">
      <formula>0.03</formula>
    </cfRule>
    <cfRule type="cellIs" dxfId="3992" priority="298" stopIfTrue="1" operator="lessThan">
      <formula>-0.03</formula>
    </cfRule>
  </conditionalFormatting>
  <conditionalFormatting sqref="I28:I30">
    <cfRule type="cellIs" dxfId="3991" priority="295" operator="greaterThan">
      <formula>0.03</formula>
    </cfRule>
    <cfRule type="cellIs" dxfId="3990" priority="296" stopIfTrue="1" operator="lessThan">
      <formula>-0.03</formula>
    </cfRule>
  </conditionalFormatting>
  <conditionalFormatting sqref="I28:I30">
    <cfRule type="cellIs" dxfId="3989" priority="293" operator="greaterThan">
      <formula>0.03</formula>
    </cfRule>
    <cfRule type="cellIs" dxfId="3988" priority="294" stopIfTrue="1" operator="lessThan">
      <formula>-0.03</formula>
    </cfRule>
  </conditionalFormatting>
  <conditionalFormatting sqref="I28:I30">
    <cfRule type="cellIs" dxfId="3987" priority="291" operator="greaterThan">
      <formula>0.03</formula>
    </cfRule>
    <cfRule type="cellIs" dxfId="3986" priority="292" stopIfTrue="1" operator="lessThan">
      <formula>-0.03</formula>
    </cfRule>
  </conditionalFormatting>
  <conditionalFormatting sqref="I20:I22">
    <cfRule type="cellIs" dxfId="3985" priority="335" operator="greaterThan">
      <formula>0.03</formula>
    </cfRule>
    <cfRule type="cellIs" dxfId="3984" priority="336" stopIfTrue="1" operator="lessThan">
      <formula>-0.03</formula>
    </cfRule>
  </conditionalFormatting>
  <conditionalFormatting sqref="I19">
    <cfRule type="cellIs" dxfId="3983" priority="309" operator="greaterThan">
      <formula>0.03</formula>
    </cfRule>
    <cfRule type="cellIs" dxfId="3982" priority="310" stopIfTrue="1" operator="lessThan">
      <formula>-0.03</formula>
    </cfRule>
  </conditionalFormatting>
  <conditionalFormatting sqref="I19">
    <cfRule type="cellIs" dxfId="3981" priority="307" operator="greaterThan">
      <formula>0.03</formula>
    </cfRule>
    <cfRule type="cellIs" dxfId="3980" priority="308" stopIfTrue="1" operator="lessThan">
      <formula>-0.03</formula>
    </cfRule>
  </conditionalFormatting>
  <conditionalFormatting sqref="I19">
    <cfRule type="cellIs" dxfId="3979" priority="305" operator="greaterThan">
      <formula>0.03</formula>
    </cfRule>
    <cfRule type="cellIs" dxfId="3978" priority="306" stopIfTrue="1" operator="lessThan">
      <formula>-0.03</formula>
    </cfRule>
  </conditionalFormatting>
  <conditionalFormatting sqref="I19">
    <cfRule type="cellIs" dxfId="3977" priority="303" operator="greaterThan">
      <formula>0.03</formula>
    </cfRule>
    <cfRule type="cellIs" dxfId="3976" priority="304" stopIfTrue="1" operator="lessThan">
      <formula>-0.03</formula>
    </cfRule>
  </conditionalFormatting>
  <conditionalFormatting sqref="I19">
    <cfRule type="cellIs" dxfId="3975" priority="301" operator="greaterThan">
      <formula>0.03</formula>
    </cfRule>
    <cfRule type="cellIs" dxfId="3974" priority="302" stopIfTrue="1" operator="lessThan">
      <formula>-0.03</formula>
    </cfRule>
  </conditionalFormatting>
  <conditionalFormatting sqref="I20:I22">
    <cfRule type="cellIs" dxfId="3973" priority="339" operator="greaterThan">
      <formula>0.03</formula>
    </cfRule>
    <cfRule type="cellIs" dxfId="3972" priority="340" stopIfTrue="1" operator="lessThan">
      <formula>-0.03</formula>
    </cfRule>
  </conditionalFormatting>
  <conditionalFormatting sqref="I20:I22">
    <cfRule type="cellIs" dxfId="3971" priority="337" operator="greaterThan">
      <formula>0.03</formula>
    </cfRule>
    <cfRule type="cellIs" dxfId="3970" priority="338" stopIfTrue="1" operator="lessThan">
      <formula>-0.03</formula>
    </cfRule>
  </conditionalFormatting>
  <conditionalFormatting sqref="I12:I14 I16:I18">
    <cfRule type="cellIs" dxfId="3969" priority="325" operator="greaterThan">
      <formula>0.03</formula>
    </cfRule>
    <cfRule type="cellIs" dxfId="3968" priority="326" stopIfTrue="1" operator="lessThan">
      <formula>-0.03</formula>
    </cfRule>
  </conditionalFormatting>
  <conditionalFormatting sqref="I20:I22">
    <cfRule type="cellIs" dxfId="3967" priority="333" operator="greaterThan">
      <formula>0.03</formula>
    </cfRule>
    <cfRule type="cellIs" dxfId="3966" priority="334" stopIfTrue="1" operator="lessThan">
      <formula>-0.03</formula>
    </cfRule>
  </conditionalFormatting>
  <conditionalFormatting sqref="I20:I22">
    <cfRule type="cellIs" dxfId="3965" priority="331" operator="greaterThan">
      <formula>0.03</formula>
    </cfRule>
    <cfRule type="cellIs" dxfId="3964" priority="332" stopIfTrue="1" operator="lessThan">
      <formula>-0.03</formula>
    </cfRule>
  </conditionalFormatting>
  <conditionalFormatting sqref="I12:I14 I16:I18">
    <cfRule type="cellIs" dxfId="3963" priority="321" operator="greaterThan">
      <formula>0.03</formula>
    </cfRule>
    <cfRule type="cellIs" dxfId="3962" priority="322" stopIfTrue="1" operator="lessThan">
      <formula>-0.03</formula>
    </cfRule>
  </conditionalFormatting>
  <conditionalFormatting sqref="I12:I14 I16:I18">
    <cfRule type="cellIs" dxfId="3961" priority="323" operator="greaterThan">
      <formula>0.03</formula>
    </cfRule>
    <cfRule type="cellIs" dxfId="3960" priority="324" stopIfTrue="1" operator="lessThan">
      <formula>-0.03</formula>
    </cfRule>
  </conditionalFormatting>
  <conditionalFormatting sqref="I11">
    <cfRule type="cellIs" dxfId="3959" priority="319" operator="greaterThan">
      <formula>0.03</formula>
    </cfRule>
    <cfRule type="cellIs" dxfId="3958" priority="320" stopIfTrue="1" operator="lessThan">
      <formula>-0.03</formula>
    </cfRule>
  </conditionalFormatting>
  <conditionalFormatting sqref="I11">
    <cfRule type="cellIs" dxfId="3957" priority="317" operator="greaterThan">
      <formula>0.03</formula>
    </cfRule>
    <cfRule type="cellIs" dxfId="3956" priority="318" stopIfTrue="1" operator="lessThan">
      <formula>-0.03</formula>
    </cfRule>
  </conditionalFormatting>
  <conditionalFormatting sqref="I11">
    <cfRule type="cellIs" dxfId="3955" priority="315" operator="greaterThan">
      <formula>0.03</formula>
    </cfRule>
    <cfRule type="cellIs" dxfId="3954" priority="316" stopIfTrue="1" operator="lessThan">
      <formula>-0.03</formula>
    </cfRule>
  </conditionalFormatting>
  <conditionalFormatting sqref="I11">
    <cfRule type="cellIs" dxfId="3953" priority="313" operator="greaterThan">
      <formula>0.03</formula>
    </cfRule>
    <cfRule type="cellIs" dxfId="3952" priority="314" stopIfTrue="1" operator="lessThan">
      <formula>-0.03</formula>
    </cfRule>
  </conditionalFormatting>
  <conditionalFormatting sqref="I11">
    <cfRule type="cellIs" dxfId="3951" priority="311" operator="greaterThan">
      <formula>0.03</formula>
    </cfRule>
    <cfRule type="cellIs" dxfId="3950" priority="312" stopIfTrue="1" operator="lessThan">
      <formula>-0.03</formula>
    </cfRule>
  </conditionalFormatting>
  <conditionalFormatting sqref="I24:I26">
    <cfRule type="cellIs" dxfId="3949" priority="289" operator="greaterThan">
      <formula>0.03</formula>
    </cfRule>
    <cfRule type="cellIs" dxfId="3948" priority="290" stopIfTrue="1" operator="lessThan">
      <formula>-0.03</formula>
    </cfRule>
  </conditionalFormatting>
  <conditionalFormatting sqref="I24:I26">
    <cfRule type="cellIs" dxfId="3947" priority="287" operator="greaterThan">
      <formula>0.03</formula>
    </cfRule>
    <cfRule type="cellIs" dxfId="3946" priority="288" stopIfTrue="1" operator="lessThan">
      <formula>-0.03</formula>
    </cfRule>
  </conditionalFormatting>
  <conditionalFormatting sqref="I27">
    <cfRule type="cellIs" dxfId="3945" priority="269" operator="greaterThan">
      <formula>0.03</formula>
    </cfRule>
    <cfRule type="cellIs" dxfId="3944" priority="270" stopIfTrue="1" operator="lessThan">
      <formula>-0.03</formula>
    </cfRule>
  </conditionalFormatting>
  <conditionalFormatting sqref="I27">
    <cfRule type="cellIs" dxfId="3943" priority="267" operator="greaterThan">
      <formula>0.03</formula>
    </cfRule>
    <cfRule type="cellIs" dxfId="3942" priority="268" stopIfTrue="1" operator="lessThan">
      <formula>-0.03</formula>
    </cfRule>
  </conditionalFormatting>
  <conditionalFormatting sqref="I27">
    <cfRule type="cellIs" dxfId="3941" priority="265" operator="greaterThan">
      <formula>0.03</formula>
    </cfRule>
    <cfRule type="cellIs" dxfId="3940" priority="266" stopIfTrue="1" operator="lessThan">
      <formula>-0.03</formula>
    </cfRule>
  </conditionalFormatting>
  <conditionalFormatting sqref="I27">
    <cfRule type="cellIs" dxfId="3939" priority="263" operator="greaterThan">
      <formula>0.03</formula>
    </cfRule>
    <cfRule type="cellIs" dxfId="3938" priority="264" stopIfTrue="1" operator="lessThan">
      <formula>-0.03</formula>
    </cfRule>
  </conditionalFormatting>
  <conditionalFormatting sqref="I27">
    <cfRule type="cellIs" dxfId="3937" priority="261" operator="greaterThan">
      <formula>0.03</formula>
    </cfRule>
    <cfRule type="cellIs" dxfId="3936" priority="262" stopIfTrue="1" operator="lessThan">
      <formula>-0.03</formula>
    </cfRule>
  </conditionalFormatting>
  <conditionalFormatting sqref="I24:I26">
    <cfRule type="cellIs" dxfId="3935" priority="285" operator="greaterThan">
      <formula>0.03</formula>
    </cfRule>
    <cfRule type="cellIs" dxfId="3934" priority="286" stopIfTrue="1" operator="lessThan">
      <formula>-0.03</formula>
    </cfRule>
  </conditionalFormatting>
  <conditionalFormatting sqref="I24:I26">
    <cfRule type="cellIs" dxfId="3933" priority="281" operator="greaterThan">
      <formula>0.03</formula>
    </cfRule>
    <cfRule type="cellIs" dxfId="3932" priority="282" stopIfTrue="1" operator="lessThan">
      <formula>-0.03</formula>
    </cfRule>
  </conditionalFormatting>
  <conditionalFormatting sqref="I24:I26">
    <cfRule type="cellIs" dxfId="3931" priority="283" operator="greaterThan">
      <formula>0.03</formula>
    </cfRule>
    <cfRule type="cellIs" dxfId="3930" priority="284" stopIfTrue="1" operator="lessThan">
      <formula>-0.03</formula>
    </cfRule>
  </conditionalFormatting>
  <conditionalFormatting sqref="I23">
    <cfRule type="cellIs" dxfId="3929" priority="279" operator="greaterThan">
      <formula>0.03</formula>
    </cfRule>
    <cfRule type="cellIs" dxfId="3928" priority="280" stopIfTrue="1" operator="lessThan">
      <formula>-0.03</formula>
    </cfRule>
  </conditionalFormatting>
  <conditionalFormatting sqref="I23">
    <cfRule type="cellIs" dxfId="3927" priority="277" operator="greaterThan">
      <formula>0.03</formula>
    </cfRule>
    <cfRule type="cellIs" dxfId="3926" priority="278" stopIfTrue="1" operator="lessThan">
      <formula>-0.03</formula>
    </cfRule>
  </conditionalFormatting>
  <conditionalFormatting sqref="I23">
    <cfRule type="cellIs" dxfId="3925" priority="275" operator="greaterThan">
      <formula>0.03</formula>
    </cfRule>
    <cfRule type="cellIs" dxfId="3924" priority="276" stopIfTrue="1" operator="lessThan">
      <formula>-0.03</formula>
    </cfRule>
  </conditionalFormatting>
  <conditionalFormatting sqref="I23">
    <cfRule type="cellIs" dxfId="3923" priority="273" operator="greaterThan">
      <formula>0.03</formula>
    </cfRule>
    <cfRule type="cellIs" dxfId="3922" priority="274" stopIfTrue="1" operator="lessThan">
      <formula>-0.03</formula>
    </cfRule>
  </conditionalFormatting>
  <conditionalFormatting sqref="I23">
    <cfRule type="cellIs" dxfId="3921" priority="271" operator="greaterThan">
      <formula>0.03</formula>
    </cfRule>
    <cfRule type="cellIs" dxfId="3920" priority="272" stopIfTrue="1" operator="lessThan">
      <formula>-0.03</formula>
    </cfRule>
  </conditionalFormatting>
  <conditionalFormatting sqref="I44:I46">
    <cfRule type="cellIs" dxfId="3919" priority="259" operator="greaterThan">
      <formula>0.03</formula>
    </cfRule>
    <cfRule type="cellIs" dxfId="3918" priority="260" stopIfTrue="1" operator="lessThan">
      <formula>-0.03</formula>
    </cfRule>
  </conditionalFormatting>
  <conditionalFormatting sqref="I44:I46">
    <cfRule type="cellIs" dxfId="3917" priority="257" operator="greaterThan">
      <formula>0.03</formula>
    </cfRule>
    <cfRule type="cellIs" dxfId="3916" priority="258" stopIfTrue="1" operator="lessThan">
      <formula>-0.03</formula>
    </cfRule>
  </conditionalFormatting>
  <conditionalFormatting sqref="I44:I46">
    <cfRule type="cellIs" dxfId="3915" priority="255" operator="greaterThan">
      <formula>0.03</formula>
    </cfRule>
    <cfRule type="cellIs" dxfId="3914" priority="256" stopIfTrue="1" operator="lessThan">
      <formula>-0.03</formula>
    </cfRule>
  </conditionalFormatting>
  <conditionalFormatting sqref="I44:I46">
    <cfRule type="cellIs" dxfId="3913" priority="253" operator="greaterThan">
      <formula>0.03</formula>
    </cfRule>
    <cfRule type="cellIs" dxfId="3912" priority="254" stopIfTrue="1" operator="lessThan">
      <formula>-0.03</formula>
    </cfRule>
  </conditionalFormatting>
  <conditionalFormatting sqref="I44:I46">
    <cfRule type="cellIs" dxfId="3911" priority="251" operator="greaterThan">
      <formula>0.03</formula>
    </cfRule>
    <cfRule type="cellIs" dxfId="3910" priority="252" stopIfTrue="1" operator="lessThan">
      <formula>-0.03</formula>
    </cfRule>
  </conditionalFormatting>
  <conditionalFormatting sqref="I40:I42">
    <cfRule type="cellIs" dxfId="3909" priority="249" operator="greaterThan">
      <formula>0.03</formula>
    </cfRule>
    <cfRule type="cellIs" dxfId="3908" priority="250" stopIfTrue="1" operator="lessThan">
      <formula>-0.03</formula>
    </cfRule>
  </conditionalFormatting>
  <conditionalFormatting sqref="I40:I42">
    <cfRule type="cellIs" dxfId="3907" priority="247" operator="greaterThan">
      <formula>0.03</formula>
    </cfRule>
    <cfRule type="cellIs" dxfId="3906" priority="248" stopIfTrue="1" operator="lessThan">
      <formula>-0.03</formula>
    </cfRule>
  </conditionalFormatting>
  <conditionalFormatting sqref="I43">
    <cfRule type="cellIs" dxfId="3905" priority="229" operator="greaterThan">
      <formula>0.03</formula>
    </cfRule>
    <cfRule type="cellIs" dxfId="3904" priority="230" stopIfTrue="1" operator="lessThan">
      <formula>-0.03</formula>
    </cfRule>
  </conditionalFormatting>
  <conditionalFormatting sqref="I43">
    <cfRule type="cellIs" dxfId="3903" priority="227" operator="greaterThan">
      <formula>0.03</formula>
    </cfRule>
    <cfRule type="cellIs" dxfId="3902" priority="228" stopIfTrue="1" operator="lessThan">
      <formula>-0.03</formula>
    </cfRule>
  </conditionalFormatting>
  <conditionalFormatting sqref="I43">
    <cfRule type="cellIs" dxfId="3901" priority="225" operator="greaterThan">
      <formula>0.03</formula>
    </cfRule>
    <cfRule type="cellIs" dxfId="3900" priority="226" stopIfTrue="1" operator="lessThan">
      <formula>-0.03</formula>
    </cfRule>
  </conditionalFormatting>
  <conditionalFormatting sqref="I43">
    <cfRule type="cellIs" dxfId="3899" priority="223" operator="greaterThan">
      <formula>0.03</formula>
    </cfRule>
    <cfRule type="cellIs" dxfId="3898" priority="224" stopIfTrue="1" operator="lessThan">
      <formula>-0.03</formula>
    </cfRule>
  </conditionalFormatting>
  <conditionalFormatting sqref="I43">
    <cfRule type="cellIs" dxfId="3897" priority="221" operator="greaterThan">
      <formula>0.03</formula>
    </cfRule>
    <cfRule type="cellIs" dxfId="3896" priority="222" stopIfTrue="1" operator="lessThan">
      <formula>-0.03</formula>
    </cfRule>
  </conditionalFormatting>
  <conditionalFormatting sqref="I40:I42">
    <cfRule type="cellIs" dxfId="3895" priority="245" operator="greaterThan">
      <formula>0.03</formula>
    </cfRule>
    <cfRule type="cellIs" dxfId="3894" priority="246" stopIfTrue="1" operator="lessThan">
      <formula>-0.03</formula>
    </cfRule>
  </conditionalFormatting>
  <conditionalFormatting sqref="I40:I42">
    <cfRule type="cellIs" dxfId="3893" priority="241" operator="greaterThan">
      <formula>0.03</formula>
    </cfRule>
    <cfRule type="cellIs" dxfId="3892" priority="242" stopIfTrue="1" operator="lessThan">
      <formula>-0.03</formula>
    </cfRule>
  </conditionalFormatting>
  <conditionalFormatting sqref="I40:I42">
    <cfRule type="cellIs" dxfId="3891" priority="243" operator="greaterThan">
      <formula>0.03</formula>
    </cfRule>
    <cfRule type="cellIs" dxfId="3890" priority="244" stopIfTrue="1" operator="lessThan">
      <formula>-0.03</formula>
    </cfRule>
  </conditionalFormatting>
  <conditionalFormatting sqref="I39">
    <cfRule type="cellIs" dxfId="3889" priority="239" operator="greaterThan">
      <formula>0.03</formula>
    </cfRule>
    <cfRule type="cellIs" dxfId="3888" priority="240" stopIfTrue="1" operator="lessThan">
      <formula>-0.03</formula>
    </cfRule>
  </conditionalFormatting>
  <conditionalFormatting sqref="I39">
    <cfRule type="cellIs" dxfId="3887" priority="237" operator="greaterThan">
      <formula>0.03</formula>
    </cfRule>
    <cfRule type="cellIs" dxfId="3886" priority="238" stopIfTrue="1" operator="lessThan">
      <formula>-0.03</formula>
    </cfRule>
  </conditionalFormatting>
  <conditionalFormatting sqref="I39">
    <cfRule type="cellIs" dxfId="3885" priority="235" operator="greaterThan">
      <formula>0.03</formula>
    </cfRule>
    <cfRule type="cellIs" dxfId="3884" priority="236" stopIfTrue="1" operator="lessThan">
      <formula>-0.03</formula>
    </cfRule>
  </conditionalFormatting>
  <conditionalFormatting sqref="I39">
    <cfRule type="cellIs" dxfId="3883" priority="233" operator="greaterThan">
      <formula>0.03</formula>
    </cfRule>
    <cfRule type="cellIs" dxfId="3882" priority="234" stopIfTrue="1" operator="lessThan">
      <formula>-0.03</formula>
    </cfRule>
  </conditionalFormatting>
  <conditionalFormatting sqref="I39">
    <cfRule type="cellIs" dxfId="3881" priority="231" operator="greaterThan">
      <formula>0.03</formula>
    </cfRule>
    <cfRule type="cellIs" dxfId="3880" priority="232" stopIfTrue="1" operator="lessThan">
      <formula>-0.03</formula>
    </cfRule>
  </conditionalFormatting>
  <conditionalFormatting sqref="I64:I66">
    <cfRule type="cellIs" dxfId="3879" priority="219" operator="greaterThan">
      <formula>0.03</formula>
    </cfRule>
    <cfRule type="cellIs" dxfId="3878" priority="220" stopIfTrue="1" operator="lessThan">
      <formula>-0.03</formula>
    </cfRule>
  </conditionalFormatting>
  <conditionalFormatting sqref="I64:I66">
    <cfRule type="cellIs" dxfId="3877" priority="217" operator="greaterThan">
      <formula>0.03</formula>
    </cfRule>
    <cfRule type="cellIs" dxfId="3876" priority="218" stopIfTrue="1" operator="lessThan">
      <formula>-0.03</formula>
    </cfRule>
  </conditionalFormatting>
  <conditionalFormatting sqref="I64:I66">
    <cfRule type="cellIs" dxfId="3875" priority="215" operator="greaterThan">
      <formula>0.03</formula>
    </cfRule>
    <cfRule type="cellIs" dxfId="3874" priority="216" stopIfTrue="1" operator="lessThan">
      <formula>-0.03</formula>
    </cfRule>
  </conditionalFormatting>
  <conditionalFormatting sqref="I64:I66">
    <cfRule type="cellIs" dxfId="3873" priority="213" operator="greaterThan">
      <formula>0.03</formula>
    </cfRule>
    <cfRule type="cellIs" dxfId="3872" priority="214" stopIfTrue="1" operator="lessThan">
      <formula>-0.03</formula>
    </cfRule>
  </conditionalFormatting>
  <conditionalFormatting sqref="I64:I66">
    <cfRule type="cellIs" dxfId="3871" priority="211" operator="greaterThan">
      <formula>0.03</formula>
    </cfRule>
    <cfRule type="cellIs" dxfId="3870" priority="212" stopIfTrue="1" operator="lessThan">
      <formula>-0.03</formula>
    </cfRule>
  </conditionalFormatting>
  <conditionalFormatting sqref="I56:I58">
    <cfRule type="cellIs" dxfId="3869" priority="209" operator="greaterThan">
      <formula>0.03</formula>
    </cfRule>
    <cfRule type="cellIs" dxfId="3868" priority="210" stopIfTrue="1" operator="lessThan">
      <formula>-0.03</formula>
    </cfRule>
  </conditionalFormatting>
  <conditionalFormatting sqref="I56:I58">
    <cfRule type="cellIs" dxfId="3867" priority="207" operator="greaterThan">
      <formula>0.03</formula>
    </cfRule>
    <cfRule type="cellIs" dxfId="3866" priority="208" stopIfTrue="1" operator="lessThan">
      <formula>-0.03</formula>
    </cfRule>
  </conditionalFormatting>
  <conditionalFormatting sqref="I63">
    <cfRule type="cellIs" dxfId="3865" priority="189" operator="greaterThan">
      <formula>0.03</formula>
    </cfRule>
    <cfRule type="cellIs" dxfId="3864" priority="190" stopIfTrue="1" operator="lessThan">
      <formula>-0.03</formula>
    </cfRule>
  </conditionalFormatting>
  <conditionalFormatting sqref="I63">
    <cfRule type="cellIs" dxfId="3863" priority="187" operator="greaterThan">
      <formula>0.03</formula>
    </cfRule>
    <cfRule type="cellIs" dxfId="3862" priority="188" stopIfTrue="1" operator="lessThan">
      <formula>-0.03</formula>
    </cfRule>
  </conditionalFormatting>
  <conditionalFormatting sqref="I63">
    <cfRule type="cellIs" dxfId="3861" priority="185" operator="greaterThan">
      <formula>0.03</formula>
    </cfRule>
    <cfRule type="cellIs" dxfId="3860" priority="186" stopIfTrue="1" operator="lessThan">
      <formula>-0.03</formula>
    </cfRule>
  </conditionalFormatting>
  <conditionalFormatting sqref="I63">
    <cfRule type="cellIs" dxfId="3859" priority="183" operator="greaterThan">
      <formula>0.03</formula>
    </cfRule>
    <cfRule type="cellIs" dxfId="3858" priority="184" stopIfTrue="1" operator="lessThan">
      <formula>-0.03</formula>
    </cfRule>
  </conditionalFormatting>
  <conditionalFormatting sqref="I63">
    <cfRule type="cellIs" dxfId="3857" priority="181" operator="greaterThan">
      <formula>0.03</formula>
    </cfRule>
    <cfRule type="cellIs" dxfId="3856" priority="182" stopIfTrue="1" operator="lessThan">
      <formula>-0.03</formula>
    </cfRule>
  </conditionalFormatting>
  <conditionalFormatting sqref="I56:I58">
    <cfRule type="cellIs" dxfId="3855" priority="205" operator="greaterThan">
      <formula>0.03</formula>
    </cfRule>
    <cfRule type="cellIs" dxfId="3854" priority="206" stopIfTrue="1" operator="lessThan">
      <formula>-0.03</formula>
    </cfRule>
  </conditionalFormatting>
  <conditionalFormatting sqref="I56:I58">
    <cfRule type="cellIs" dxfId="3853" priority="201" operator="greaterThan">
      <formula>0.03</formula>
    </cfRule>
    <cfRule type="cellIs" dxfId="3852" priority="202" stopIfTrue="1" operator="lessThan">
      <formula>-0.03</formula>
    </cfRule>
  </conditionalFormatting>
  <conditionalFormatting sqref="I56:I58">
    <cfRule type="cellIs" dxfId="3851" priority="203" operator="greaterThan">
      <formula>0.03</formula>
    </cfRule>
    <cfRule type="cellIs" dxfId="3850" priority="204" stopIfTrue="1" operator="lessThan">
      <formula>-0.03</formula>
    </cfRule>
  </conditionalFormatting>
  <conditionalFormatting sqref="I55">
    <cfRule type="cellIs" dxfId="3849" priority="199" operator="greaterThan">
      <formula>0.03</formula>
    </cfRule>
    <cfRule type="cellIs" dxfId="3848" priority="200" stopIfTrue="1" operator="lessThan">
      <formula>-0.03</formula>
    </cfRule>
  </conditionalFormatting>
  <conditionalFormatting sqref="I55">
    <cfRule type="cellIs" dxfId="3847" priority="197" operator="greaterThan">
      <formula>0.03</formula>
    </cfRule>
    <cfRule type="cellIs" dxfId="3846" priority="198" stopIfTrue="1" operator="lessThan">
      <formula>-0.03</formula>
    </cfRule>
  </conditionalFormatting>
  <conditionalFormatting sqref="I55">
    <cfRule type="cellIs" dxfId="3845" priority="195" operator="greaterThan">
      <formula>0.03</formula>
    </cfRule>
    <cfRule type="cellIs" dxfId="3844" priority="196" stopIfTrue="1" operator="lessThan">
      <formula>-0.03</formula>
    </cfRule>
  </conditionalFormatting>
  <conditionalFormatting sqref="I55">
    <cfRule type="cellIs" dxfId="3843" priority="193" operator="greaterThan">
      <formula>0.03</formula>
    </cfRule>
    <cfRule type="cellIs" dxfId="3842" priority="194" stopIfTrue="1" operator="lessThan">
      <formula>-0.03</formula>
    </cfRule>
  </conditionalFormatting>
  <conditionalFormatting sqref="I55">
    <cfRule type="cellIs" dxfId="3841" priority="191" operator="greaterThan">
      <formula>0.03</formula>
    </cfRule>
    <cfRule type="cellIs" dxfId="3840" priority="192" stopIfTrue="1" operator="lessThan">
      <formula>-0.03</formula>
    </cfRule>
  </conditionalFormatting>
  <conditionalFormatting sqref="I36:I38">
    <cfRule type="cellIs" dxfId="3839" priority="179" operator="greaterThan">
      <formula>0.03</formula>
    </cfRule>
    <cfRule type="cellIs" dxfId="3838" priority="180" stopIfTrue="1" operator="lessThan">
      <formula>-0.03</formula>
    </cfRule>
  </conditionalFormatting>
  <conditionalFormatting sqref="I36:I38">
    <cfRule type="cellIs" dxfId="3837" priority="177" operator="greaterThan">
      <formula>0.03</formula>
    </cfRule>
    <cfRule type="cellIs" dxfId="3836" priority="178" stopIfTrue="1" operator="lessThan">
      <formula>-0.03</formula>
    </cfRule>
  </conditionalFormatting>
  <conditionalFormatting sqref="I36:I38">
    <cfRule type="cellIs" dxfId="3835" priority="175" operator="greaterThan">
      <formula>0.03</formula>
    </cfRule>
    <cfRule type="cellIs" dxfId="3834" priority="176" stopIfTrue="1" operator="lessThan">
      <formula>-0.03</formula>
    </cfRule>
  </conditionalFormatting>
  <conditionalFormatting sqref="I36:I38">
    <cfRule type="cellIs" dxfId="3833" priority="173" operator="greaterThan">
      <formula>0.03</formula>
    </cfRule>
    <cfRule type="cellIs" dxfId="3832" priority="174" stopIfTrue="1" operator="lessThan">
      <formula>-0.03</formula>
    </cfRule>
  </conditionalFormatting>
  <conditionalFormatting sqref="I36:I38">
    <cfRule type="cellIs" dxfId="3831" priority="171" operator="greaterThan">
      <formula>0.03</formula>
    </cfRule>
    <cfRule type="cellIs" dxfId="3830" priority="172" stopIfTrue="1" operator="lessThan">
      <formula>-0.03</formula>
    </cfRule>
  </conditionalFormatting>
  <conditionalFormatting sqref="I32:I34">
    <cfRule type="cellIs" dxfId="3829" priority="169" operator="greaterThan">
      <formula>0.03</formula>
    </cfRule>
    <cfRule type="cellIs" dxfId="3828" priority="170" stopIfTrue="1" operator="lessThan">
      <formula>-0.03</formula>
    </cfRule>
  </conditionalFormatting>
  <conditionalFormatting sqref="I32:I34">
    <cfRule type="cellIs" dxfId="3827" priority="167" operator="greaterThan">
      <formula>0.03</formula>
    </cfRule>
    <cfRule type="cellIs" dxfId="3826" priority="168" stopIfTrue="1" operator="lessThan">
      <formula>-0.03</formula>
    </cfRule>
  </conditionalFormatting>
  <conditionalFormatting sqref="I35">
    <cfRule type="cellIs" dxfId="3825" priority="149" operator="greaterThan">
      <formula>0.03</formula>
    </cfRule>
    <cfRule type="cellIs" dxfId="3824" priority="150" stopIfTrue="1" operator="lessThan">
      <formula>-0.03</formula>
    </cfRule>
  </conditionalFormatting>
  <conditionalFormatting sqref="I35">
    <cfRule type="cellIs" dxfId="3823" priority="147" operator="greaterThan">
      <formula>0.03</formula>
    </cfRule>
    <cfRule type="cellIs" dxfId="3822" priority="148" stopIfTrue="1" operator="lessThan">
      <formula>-0.03</formula>
    </cfRule>
  </conditionalFormatting>
  <conditionalFormatting sqref="I35">
    <cfRule type="cellIs" dxfId="3821" priority="145" operator="greaterThan">
      <formula>0.03</formula>
    </cfRule>
    <cfRule type="cellIs" dxfId="3820" priority="146" stopIfTrue="1" operator="lessThan">
      <formula>-0.03</formula>
    </cfRule>
  </conditionalFormatting>
  <conditionalFormatting sqref="I35">
    <cfRule type="cellIs" dxfId="3819" priority="143" operator="greaterThan">
      <formula>0.03</formula>
    </cfRule>
    <cfRule type="cellIs" dxfId="3818" priority="144" stopIfTrue="1" operator="lessThan">
      <formula>-0.03</formula>
    </cfRule>
  </conditionalFormatting>
  <conditionalFormatting sqref="I35">
    <cfRule type="cellIs" dxfId="3817" priority="141" operator="greaterThan">
      <formula>0.03</formula>
    </cfRule>
    <cfRule type="cellIs" dxfId="3816" priority="142" stopIfTrue="1" operator="lessThan">
      <formula>-0.03</formula>
    </cfRule>
  </conditionalFormatting>
  <conditionalFormatting sqref="I32:I34">
    <cfRule type="cellIs" dxfId="3815" priority="165" operator="greaterThan">
      <formula>0.03</formula>
    </cfRule>
    <cfRule type="cellIs" dxfId="3814" priority="166" stopIfTrue="1" operator="lessThan">
      <formula>-0.03</formula>
    </cfRule>
  </conditionalFormatting>
  <conditionalFormatting sqref="I32:I34">
    <cfRule type="cellIs" dxfId="3813" priority="161" operator="greaterThan">
      <formula>0.03</formula>
    </cfRule>
    <cfRule type="cellIs" dxfId="3812" priority="162" stopIfTrue="1" operator="lessThan">
      <formula>-0.03</formula>
    </cfRule>
  </conditionalFormatting>
  <conditionalFormatting sqref="I32:I34">
    <cfRule type="cellIs" dxfId="3811" priority="163" operator="greaterThan">
      <formula>0.03</formula>
    </cfRule>
    <cfRule type="cellIs" dxfId="3810" priority="164" stopIfTrue="1" operator="lessThan">
      <formula>-0.03</formula>
    </cfRule>
  </conditionalFormatting>
  <conditionalFormatting sqref="I31">
    <cfRule type="cellIs" dxfId="3809" priority="159" operator="greaterThan">
      <formula>0.03</formula>
    </cfRule>
    <cfRule type="cellIs" dxfId="3808" priority="160" stopIfTrue="1" operator="lessThan">
      <formula>-0.03</formula>
    </cfRule>
  </conditionalFormatting>
  <conditionalFormatting sqref="I31">
    <cfRule type="cellIs" dxfId="3807" priority="157" operator="greaterThan">
      <formula>0.03</formula>
    </cfRule>
    <cfRule type="cellIs" dxfId="3806" priority="158" stopIfTrue="1" operator="lessThan">
      <formula>-0.03</formula>
    </cfRule>
  </conditionalFormatting>
  <conditionalFormatting sqref="I31">
    <cfRule type="cellIs" dxfId="3805" priority="155" operator="greaterThan">
      <formula>0.03</formula>
    </cfRule>
    <cfRule type="cellIs" dxfId="3804" priority="156" stopIfTrue="1" operator="lessThan">
      <formula>-0.03</formula>
    </cfRule>
  </conditionalFormatting>
  <conditionalFormatting sqref="I31">
    <cfRule type="cellIs" dxfId="3803" priority="153" operator="greaterThan">
      <formula>0.03</formula>
    </cfRule>
    <cfRule type="cellIs" dxfId="3802" priority="154" stopIfTrue="1" operator="lessThan">
      <formula>-0.03</formula>
    </cfRule>
  </conditionalFormatting>
  <conditionalFormatting sqref="I31">
    <cfRule type="cellIs" dxfId="3801" priority="151" operator="greaterThan">
      <formula>0.03</formula>
    </cfRule>
    <cfRule type="cellIs" dxfId="3800" priority="152" stopIfTrue="1" operator="lessThan">
      <formula>-0.03</formula>
    </cfRule>
  </conditionalFormatting>
  <conditionalFormatting sqref="I52:I54">
    <cfRule type="cellIs" dxfId="3799" priority="139" operator="greaterThan">
      <formula>0.03</formula>
    </cfRule>
    <cfRule type="cellIs" dxfId="3798" priority="140" stopIfTrue="1" operator="lessThan">
      <formula>-0.03</formula>
    </cfRule>
  </conditionalFormatting>
  <conditionalFormatting sqref="I52:I54">
    <cfRule type="cellIs" dxfId="3797" priority="137" operator="greaterThan">
      <formula>0.03</formula>
    </cfRule>
    <cfRule type="cellIs" dxfId="3796" priority="138" stopIfTrue="1" operator="lessThan">
      <formula>-0.03</formula>
    </cfRule>
  </conditionalFormatting>
  <conditionalFormatting sqref="I52:I54">
    <cfRule type="cellIs" dxfId="3795" priority="135" operator="greaterThan">
      <formula>0.03</formula>
    </cfRule>
    <cfRule type="cellIs" dxfId="3794" priority="136" stopIfTrue="1" operator="lessThan">
      <formula>-0.03</formula>
    </cfRule>
  </conditionalFormatting>
  <conditionalFormatting sqref="I52:I54">
    <cfRule type="cellIs" dxfId="3793" priority="133" operator="greaterThan">
      <formula>0.03</formula>
    </cfRule>
    <cfRule type="cellIs" dxfId="3792" priority="134" stopIfTrue="1" operator="lessThan">
      <formula>-0.03</formula>
    </cfRule>
  </conditionalFormatting>
  <conditionalFormatting sqref="I52:I54">
    <cfRule type="cellIs" dxfId="3791" priority="131" operator="greaterThan">
      <formula>0.03</formula>
    </cfRule>
    <cfRule type="cellIs" dxfId="3790" priority="132" stopIfTrue="1" operator="lessThan">
      <formula>-0.03</formula>
    </cfRule>
  </conditionalFormatting>
  <conditionalFormatting sqref="I48:I50">
    <cfRule type="cellIs" dxfId="3789" priority="129" operator="greaterThan">
      <formula>0.03</formula>
    </cfRule>
    <cfRule type="cellIs" dxfId="3788" priority="130" stopIfTrue="1" operator="lessThan">
      <formula>-0.03</formula>
    </cfRule>
  </conditionalFormatting>
  <conditionalFormatting sqref="I48:I50">
    <cfRule type="cellIs" dxfId="3787" priority="127" operator="greaterThan">
      <formula>0.03</formula>
    </cfRule>
    <cfRule type="cellIs" dxfId="3786" priority="128" stopIfTrue="1" operator="lessThan">
      <formula>-0.03</formula>
    </cfRule>
  </conditionalFormatting>
  <conditionalFormatting sqref="I51">
    <cfRule type="cellIs" dxfId="3785" priority="109" operator="greaterThan">
      <formula>0.03</formula>
    </cfRule>
    <cfRule type="cellIs" dxfId="3784" priority="110" stopIfTrue="1" operator="lessThan">
      <formula>-0.03</formula>
    </cfRule>
  </conditionalFormatting>
  <conditionalFormatting sqref="I51">
    <cfRule type="cellIs" dxfId="3783" priority="107" operator="greaterThan">
      <formula>0.03</formula>
    </cfRule>
    <cfRule type="cellIs" dxfId="3782" priority="108" stopIfTrue="1" operator="lessThan">
      <formula>-0.03</formula>
    </cfRule>
  </conditionalFormatting>
  <conditionalFormatting sqref="I51">
    <cfRule type="cellIs" dxfId="3781" priority="105" operator="greaterThan">
      <formula>0.03</formula>
    </cfRule>
    <cfRule type="cellIs" dxfId="3780" priority="106" stopIfTrue="1" operator="lessThan">
      <formula>-0.03</formula>
    </cfRule>
  </conditionalFormatting>
  <conditionalFormatting sqref="I51">
    <cfRule type="cellIs" dxfId="3779" priority="103" operator="greaterThan">
      <formula>0.03</formula>
    </cfRule>
    <cfRule type="cellIs" dxfId="3778" priority="104" stopIfTrue="1" operator="lessThan">
      <formula>-0.03</formula>
    </cfRule>
  </conditionalFormatting>
  <conditionalFormatting sqref="I51">
    <cfRule type="cellIs" dxfId="3777" priority="101" operator="greaterThan">
      <formula>0.03</formula>
    </cfRule>
    <cfRule type="cellIs" dxfId="3776" priority="102" stopIfTrue="1" operator="lessThan">
      <formula>-0.03</formula>
    </cfRule>
  </conditionalFormatting>
  <conditionalFormatting sqref="I48:I50">
    <cfRule type="cellIs" dxfId="3775" priority="125" operator="greaterThan">
      <formula>0.03</formula>
    </cfRule>
    <cfRule type="cellIs" dxfId="3774" priority="126" stopIfTrue="1" operator="lessThan">
      <formula>-0.03</formula>
    </cfRule>
  </conditionalFormatting>
  <conditionalFormatting sqref="I48:I50">
    <cfRule type="cellIs" dxfId="3773" priority="121" operator="greaterThan">
      <formula>0.03</formula>
    </cfRule>
    <cfRule type="cellIs" dxfId="3772" priority="122" stopIfTrue="1" operator="lessThan">
      <formula>-0.03</formula>
    </cfRule>
  </conditionalFormatting>
  <conditionalFormatting sqref="I48:I50">
    <cfRule type="cellIs" dxfId="3771" priority="123" operator="greaterThan">
      <formula>0.03</formula>
    </cfRule>
    <cfRule type="cellIs" dxfId="3770" priority="124" stopIfTrue="1" operator="lessThan">
      <formula>-0.03</formula>
    </cfRule>
  </conditionalFormatting>
  <conditionalFormatting sqref="I47">
    <cfRule type="cellIs" dxfId="3769" priority="119" operator="greaterThan">
      <formula>0.03</formula>
    </cfRule>
    <cfRule type="cellIs" dxfId="3768" priority="120" stopIfTrue="1" operator="lessThan">
      <formula>-0.03</formula>
    </cfRule>
  </conditionalFormatting>
  <conditionalFormatting sqref="I47">
    <cfRule type="cellIs" dxfId="3767" priority="117" operator="greaterThan">
      <formula>0.03</formula>
    </cfRule>
    <cfRule type="cellIs" dxfId="3766" priority="118" stopIfTrue="1" operator="lessThan">
      <formula>-0.03</formula>
    </cfRule>
  </conditionalFormatting>
  <conditionalFormatting sqref="I47">
    <cfRule type="cellIs" dxfId="3765" priority="115" operator="greaterThan">
      <formula>0.03</formula>
    </cfRule>
    <cfRule type="cellIs" dxfId="3764" priority="116" stopIfTrue="1" operator="lessThan">
      <formula>-0.03</formula>
    </cfRule>
  </conditionalFormatting>
  <conditionalFormatting sqref="I47">
    <cfRule type="cellIs" dxfId="3763" priority="113" operator="greaterThan">
      <formula>0.03</formula>
    </cfRule>
    <cfRule type="cellIs" dxfId="3762" priority="114" stopIfTrue="1" operator="lessThan">
      <formula>-0.03</formula>
    </cfRule>
  </conditionalFormatting>
  <conditionalFormatting sqref="I47">
    <cfRule type="cellIs" dxfId="3761" priority="111" operator="greaterThan">
      <formula>0.03</formula>
    </cfRule>
    <cfRule type="cellIs" dxfId="3760" priority="112" stopIfTrue="1" operator="lessThan">
      <formula>-0.03</formula>
    </cfRule>
  </conditionalFormatting>
  <conditionalFormatting sqref="I60:I62">
    <cfRule type="cellIs" dxfId="3759" priority="99" operator="greaterThan">
      <formula>0.03</formula>
    </cfRule>
    <cfRule type="cellIs" dxfId="3758" priority="100" stopIfTrue="1" operator="lessThan">
      <formula>-0.03</formula>
    </cfRule>
  </conditionalFormatting>
  <conditionalFormatting sqref="I60:I62">
    <cfRule type="cellIs" dxfId="3757" priority="97" operator="greaterThan">
      <formula>0.03</formula>
    </cfRule>
    <cfRule type="cellIs" dxfId="3756" priority="98" stopIfTrue="1" operator="lessThan">
      <formula>-0.03</formula>
    </cfRule>
  </conditionalFormatting>
  <conditionalFormatting sqref="I60:I62">
    <cfRule type="cellIs" dxfId="3755" priority="95" operator="greaterThan">
      <formula>0.03</formula>
    </cfRule>
    <cfRule type="cellIs" dxfId="3754" priority="96" stopIfTrue="1" operator="lessThan">
      <formula>-0.03</formula>
    </cfRule>
  </conditionalFormatting>
  <conditionalFormatting sqref="I60:I62">
    <cfRule type="cellIs" dxfId="3753" priority="93" operator="greaterThan">
      <formula>0.03</formula>
    </cfRule>
    <cfRule type="cellIs" dxfId="3752" priority="94" stopIfTrue="1" operator="lessThan">
      <formula>-0.03</formula>
    </cfRule>
  </conditionalFormatting>
  <conditionalFormatting sqref="I60:I62">
    <cfRule type="cellIs" dxfId="3751" priority="91" operator="greaterThan">
      <formula>0.03</formula>
    </cfRule>
    <cfRule type="cellIs" dxfId="3750" priority="92" stopIfTrue="1" operator="lessThan">
      <formula>-0.03</formula>
    </cfRule>
  </conditionalFormatting>
  <conditionalFormatting sqref="I59">
    <cfRule type="cellIs" dxfId="3749" priority="89" operator="greaterThan">
      <formula>0.03</formula>
    </cfRule>
    <cfRule type="cellIs" dxfId="3748" priority="90" stopIfTrue="1" operator="lessThan">
      <formula>-0.03</formula>
    </cfRule>
  </conditionalFormatting>
  <conditionalFormatting sqref="I59">
    <cfRule type="cellIs" dxfId="3747" priority="87" operator="greaterThan">
      <formula>0.03</formula>
    </cfRule>
    <cfRule type="cellIs" dxfId="3746" priority="88" stopIfTrue="1" operator="lessThan">
      <formula>-0.03</formula>
    </cfRule>
  </conditionalFormatting>
  <conditionalFormatting sqref="I59">
    <cfRule type="cellIs" dxfId="3745" priority="85" operator="greaterThan">
      <formula>0.03</formula>
    </cfRule>
    <cfRule type="cellIs" dxfId="3744" priority="86" stopIfTrue="1" operator="lessThan">
      <formula>-0.03</formula>
    </cfRule>
  </conditionalFormatting>
  <conditionalFormatting sqref="I59">
    <cfRule type="cellIs" dxfId="3743" priority="83" operator="greaterThan">
      <formula>0.03</formula>
    </cfRule>
    <cfRule type="cellIs" dxfId="3742" priority="84" stopIfTrue="1" operator="lessThan">
      <formula>-0.03</formula>
    </cfRule>
  </conditionalFormatting>
  <conditionalFormatting sqref="I59">
    <cfRule type="cellIs" dxfId="3741" priority="81" operator="greaterThan">
      <formula>0.03</formula>
    </cfRule>
    <cfRule type="cellIs" dxfId="3740" priority="82" stopIfTrue="1" operator="lessThan">
      <formula>-0.03</formula>
    </cfRule>
  </conditionalFormatting>
  <conditionalFormatting sqref="I4:I6 I8:I10">
    <cfRule type="cellIs" dxfId="3739" priority="79" operator="greaterThan">
      <formula>0.03</formula>
    </cfRule>
    <cfRule type="cellIs" dxfId="3738" priority="80" stopIfTrue="1" operator="lessThan">
      <formula>-0.03</formula>
    </cfRule>
  </conditionalFormatting>
  <conditionalFormatting sqref="I4:I6 I8:I10">
    <cfRule type="cellIs" dxfId="3737" priority="77" operator="greaterThan">
      <formula>0.03</formula>
    </cfRule>
    <cfRule type="cellIs" dxfId="3736" priority="78" stopIfTrue="1" operator="lessThan">
      <formula>-0.03</formula>
    </cfRule>
  </conditionalFormatting>
  <conditionalFormatting sqref="I4:I6 I8:I10">
    <cfRule type="cellIs" dxfId="3735" priority="75" operator="greaterThan">
      <formula>0.03</formula>
    </cfRule>
    <cfRule type="cellIs" dxfId="3734" priority="76" stopIfTrue="1" operator="lessThan">
      <formula>-0.03</formula>
    </cfRule>
  </conditionalFormatting>
  <conditionalFormatting sqref="I4:I6 I8:I10">
    <cfRule type="cellIs" dxfId="3733" priority="71" operator="greaterThan">
      <formula>0.03</formula>
    </cfRule>
    <cfRule type="cellIs" dxfId="3732" priority="72" stopIfTrue="1" operator="lessThan">
      <formula>-0.03</formula>
    </cfRule>
  </conditionalFormatting>
  <conditionalFormatting sqref="I4:I6 I8:I10">
    <cfRule type="cellIs" dxfId="3731" priority="73" operator="greaterThan">
      <formula>0.03</formula>
    </cfRule>
    <cfRule type="cellIs" dxfId="3730" priority="74" stopIfTrue="1" operator="lessThan">
      <formula>-0.03</formula>
    </cfRule>
  </conditionalFormatting>
  <conditionalFormatting sqref="I3">
    <cfRule type="cellIs" dxfId="3729" priority="69" operator="greaterThan">
      <formula>0.03</formula>
    </cfRule>
    <cfRule type="cellIs" dxfId="3728" priority="70" stopIfTrue="1" operator="lessThan">
      <formula>-0.03</formula>
    </cfRule>
  </conditionalFormatting>
  <conditionalFormatting sqref="I3">
    <cfRule type="cellIs" dxfId="3727" priority="67" operator="greaterThan">
      <formula>0.03</formula>
    </cfRule>
    <cfRule type="cellIs" dxfId="3726" priority="68" stopIfTrue="1" operator="lessThan">
      <formula>-0.03</formula>
    </cfRule>
  </conditionalFormatting>
  <conditionalFormatting sqref="I3">
    <cfRule type="cellIs" dxfId="3725" priority="65" operator="greaterThan">
      <formula>0.03</formula>
    </cfRule>
    <cfRule type="cellIs" dxfId="3724" priority="66" stopIfTrue="1" operator="lessThan">
      <formula>-0.03</formula>
    </cfRule>
  </conditionalFormatting>
  <conditionalFormatting sqref="I3">
    <cfRule type="cellIs" dxfId="3723" priority="63" operator="greaterThan">
      <formula>0.03</formula>
    </cfRule>
    <cfRule type="cellIs" dxfId="3722" priority="64" stopIfTrue="1" operator="lessThan">
      <formula>-0.03</formula>
    </cfRule>
  </conditionalFormatting>
  <conditionalFormatting sqref="I3">
    <cfRule type="cellIs" dxfId="3721" priority="61" operator="greaterThan">
      <formula>0.03</formula>
    </cfRule>
    <cfRule type="cellIs" dxfId="3720" priority="62" stopIfTrue="1" operator="lessThan">
      <formula>-0.03</formula>
    </cfRule>
  </conditionalFormatting>
  <conditionalFormatting sqref="I7">
    <cfRule type="cellIs" dxfId="3719" priority="59" operator="greaterThan">
      <formula>0.03</formula>
    </cfRule>
    <cfRule type="cellIs" dxfId="3718" priority="60" stopIfTrue="1" operator="lessThan">
      <formula>-0.03</formula>
    </cfRule>
  </conditionalFormatting>
  <conditionalFormatting sqref="I7">
    <cfRule type="cellIs" dxfId="3717" priority="57" operator="greaterThan">
      <formula>0.03</formula>
    </cfRule>
    <cfRule type="cellIs" dxfId="3716" priority="58" stopIfTrue="1" operator="lessThan">
      <formula>-0.03</formula>
    </cfRule>
  </conditionalFormatting>
  <conditionalFormatting sqref="I7">
    <cfRule type="cellIs" dxfId="3715" priority="55" operator="greaterThan">
      <formula>0.03</formula>
    </cfRule>
    <cfRule type="cellIs" dxfId="3714" priority="56" stopIfTrue="1" operator="lessThan">
      <formula>-0.03</formula>
    </cfRule>
  </conditionalFormatting>
  <conditionalFormatting sqref="I7">
    <cfRule type="cellIs" dxfId="3713" priority="53" operator="greaterThan">
      <formula>0.03</formula>
    </cfRule>
    <cfRule type="cellIs" dxfId="3712" priority="54" stopIfTrue="1" operator="lessThan">
      <formula>-0.03</formula>
    </cfRule>
  </conditionalFormatting>
  <conditionalFormatting sqref="I7">
    <cfRule type="cellIs" dxfId="3711" priority="51" operator="greaterThan">
      <formula>0.03</formula>
    </cfRule>
    <cfRule type="cellIs" dxfId="3710" priority="52" stopIfTrue="1" operator="lessThan">
      <formula>-0.03</formula>
    </cfRule>
  </conditionalFormatting>
  <conditionalFormatting sqref="I15">
    <cfRule type="cellIs" dxfId="3709" priority="49" operator="greaterThan">
      <formula>0.03</formula>
    </cfRule>
    <cfRule type="cellIs" dxfId="3708" priority="50" stopIfTrue="1" operator="lessThan">
      <formula>-0.03</formula>
    </cfRule>
  </conditionalFormatting>
  <conditionalFormatting sqref="I15">
    <cfRule type="cellIs" dxfId="3707" priority="47" operator="greaterThan">
      <formula>0.03</formula>
    </cfRule>
    <cfRule type="cellIs" dxfId="3706" priority="48" stopIfTrue="1" operator="lessThan">
      <formula>-0.03</formula>
    </cfRule>
  </conditionalFormatting>
  <conditionalFormatting sqref="I15">
    <cfRule type="cellIs" dxfId="3705" priority="45" operator="greaterThan">
      <formula>0.03</formula>
    </cfRule>
    <cfRule type="cellIs" dxfId="3704" priority="46" stopIfTrue="1" operator="lessThan">
      <formula>-0.03</formula>
    </cfRule>
  </conditionalFormatting>
  <conditionalFormatting sqref="I15">
    <cfRule type="cellIs" dxfId="3703" priority="43" operator="greaterThan">
      <formula>0.03</formula>
    </cfRule>
    <cfRule type="cellIs" dxfId="3702" priority="44" stopIfTrue="1" operator="lessThan">
      <formula>-0.03</formula>
    </cfRule>
  </conditionalFormatting>
  <conditionalFormatting sqref="I15">
    <cfRule type="cellIs" dxfId="3701" priority="41" operator="greaterThan">
      <formula>0.03</formula>
    </cfRule>
    <cfRule type="cellIs" dxfId="3700" priority="42" stopIfTrue="1" operator="lessThan">
      <formula>-0.03</formula>
    </cfRule>
  </conditionalFormatting>
  <conditionalFormatting sqref="I73">
    <cfRule type="cellIs" dxfId="3699" priority="39" operator="greaterThan">
      <formula>0.03</formula>
    </cfRule>
    <cfRule type="cellIs" dxfId="3698" priority="40" stopIfTrue="1" operator="lessThan">
      <formula>-0.03</formula>
    </cfRule>
  </conditionalFormatting>
  <conditionalFormatting sqref="I73">
    <cfRule type="cellIs" dxfId="3697" priority="37" operator="greaterThan">
      <formula>0.03</formula>
    </cfRule>
    <cfRule type="cellIs" dxfId="3696" priority="38" stopIfTrue="1" operator="lessThan">
      <formula>-0.03</formula>
    </cfRule>
  </conditionalFormatting>
  <conditionalFormatting sqref="I73">
    <cfRule type="cellIs" dxfId="3695" priority="35" operator="greaterThan">
      <formula>0.03</formula>
    </cfRule>
    <cfRule type="cellIs" dxfId="3694" priority="36" stopIfTrue="1" operator="lessThan">
      <formula>-0.03</formula>
    </cfRule>
  </conditionalFormatting>
  <conditionalFormatting sqref="I73">
    <cfRule type="cellIs" dxfId="3693" priority="33" operator="greaterThan">
      <formula>0.03</formula>
    </cfRule>
    <cfRule type="cellIs" dxfId="3692" priority="34" stopIfTrue="1" operator="lessThan">
      <formula>-0.03</formula>
    </cfRule>
  </conditionalFormatting>
  <conditionalFormatting sqref="I73">
    <cfRule type="cellIs" dxfId="3691" priority="31" operator="greaterThan">
      <formula>0.03</formula>
    </cfRule>
    <cfRule type="cellIs" dxfId="3690" priority="32" stopIfTrue="1" operator="lessThan">
      <formula>-0.03</formula>
    </cfRule>
  </conditionalFormatting>
  <conditionalFormatting sqref="I77">
    <cfRule type="cellIs" dxfId="3689" priority="29" operator="greaterThan">
      <formula>0.03</formula>
    </cfRule>
    <cfRule type="cellIs" dxfId="3688" priority="30" stopIfTrue="1" operator="lessThan">
      <formula>-0.03</formula>
    </cfRule>
  </conditionalFormatting>
  <conditionalFormatting sqref="I77">
    <cfRule type="cellIs" dxfId="3687" priority="27" operator="greaterThan">
      <formula>0.03</formula>
    </cfRule>
    <cfRule type="cellIs" dxfId="3686" priority="28" stopIfTrue="1" operator="lessThan">
      <formula>-0.03</formula>
    </cfRule>
  </conditionalFormatting>
  <conditionalFormatting sqref="I77">
    <cfRule type="cellIs" dxfId="3685" priority="25" operator="greaterThan">
      <formula>0.03</formula>
    </cfRule>
    <cfRule type="cellIs" dxfId="3684" priority="26" stopIfTrue="1" operator="lessThan">
      <formula>-0.03</formula>
    </cfRule>
  </conditionalFormatting>
  <conditionalFormatting sqref="I77">
    <cfRule type="cellIs" dxfId="3683" priority="23" operator="greaterThan">
      <formula>0.03</formula>
    </cfRule>
    <cfRule type="cellIs" dxfId="3682" priority="24" stopIfTrue="1" operator="lessThan">
      <formula>-0.03</formula>
    </cfRule>
  </conditionalFormatting>
  <conditionalFormatting sqref="I77">
    <cfRule type="cellIs" dxfId="3681" priority="21" operator="greaterThan">
      <formula>0.03</formula>
    </cfRule>
    <cfRule type="cellIs" dxfId="3680" priority="22" stopIfTrue="1" operator="lessThan">
      <formula>-0.03</formula>
    </cfRule>
  </conditionalFormatting>
  <conditionalFormatting sqref="I81">
    <cfRule type="cellIs" dxfId="3679" priority="19" operator="greaterThan">
      <formula>0.03</formula>
    </cfRule>
    <cfRule type="cellIs" dxfId="3678" priority="20" stopIfTrue="1" operator="lessThan">
      <formula>-0.03</formula>
    </cfRule>
  </conditionalFormatting>
  <conditionalFormatting sqref="I81">
    <cfRule type="cellIs" dxfId="3677" priority="17" operator="greaterThan">
      <formula>0.03</formula>
    </cfRule>
    <cfRule type="cellIs" dxfId="3676" priority="18" stopIfTrue="1" operator="lessThan">
      <formula>-0.03</formula>
    </cfRule>
  </conditionalFormatting>
  <conditionalFormatting sqref="I81">
    <cfRule type="cellIs" dxfId="3675" priority="15" operator="greaterThan">
      <formula>0.03</formula>
    </cfRule>
    <cfRule type="cellIs" dxfId="3674" priority="16" stopIfTrue="1" operator="lessThan">
      <formula>-0.03</formula>
    </cfRule>
  </conditionalFormatting>
  <conditionalFormatting sqref="I81">
    <cfRule type="cellIs" dxfId="3673" priority="13" operator="greaterThan">
      <formula>0.03</formula>
    </cfRule>
    <cfRule type="cellIs" dxfId="3672" priority="14" stopIfTrue="1" operator="lessThan">
      <formula>-0.03</formula>
    </cfRule>
  </conditionalFormatting>
  <conditionalFormatting sqref="I81">
    <cfRule type="cellIs" dxfId="3671" priority="11" operator="greaterThan">
      <formula>0.03</formula>
    </cfRule>
    <cfRule type="cellIs" dxfId="3670" priority="12" stopIfTrue="1" operator="lessThan">
      <formula>-0.03</formula>
    </cfRule>
  </conditionalFormatting>
  <conditionalFormatting sqref="I85">
    <cfRule type="cellIs" dxfId="3669" priority="9" operator="greaterThan">
      <formula>0.03</formula>
    </cfRule>
    <cfRule type="cellIs" dxfId="3668" priority="10" stopIfTrue="1" operator="lessThan">
      <formula>-0.03</formula>
    </cfRule>
  </conditionalFormatting>
  <conditionalFormatting sqref="I85">
    <cfRule type="cellIs" dxfId="3667" priority="7" operator="greaterThan">
      <formula>0.03</formula>
    </cfRule>
    <cfRule type="cellIs" dxfId="3666" priority="8" stopIfTrue="1" operator="lessThan">
      <formula>-0.03</formula>
    </cfRule>
  </conditionalFormatting>
  <conditionalFormatting sqref="I85">
    <cfRule type="cellIs" dxfId="3665" priority="5" operator="greaterThan">
      <formula>0.03</formula>
    </cfRule>
    <cfRule type="cellIs" dxfId="3664" priority="6" stopIfTrue="1" operator="lessThan">
      <formula>-0.03</formula>
    </cfRule>
  </conditionalFormatting>
  <conditionalFormatting sqref="I85">
    <cfRule type="cellIs" dxfId="3663" priority="3" operator="greaterThan">
      <formula>0.03</formula>
    </cfRule>
    <cfRule type="cellIs" dxfId="3662" priority="4" stopIfTrue="1" operator="lessThan">
      <formula>-0.03</formula>
    </cfRule>
  </conditionalFormatting>
  <conditionalFormatting sqref="I85">
    <cfRule type="cellIs" dxfId="3661" priority="1" operator="greaterThan">
      <formula>0.03</formula>
    </cfRule>
    <cfRule type="cellIs" dxfId="3660" priority="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6B6092-206B-4B53-BF5C-3CF5567697CE}">
  <dimension ref="A1:I88"/>
  <sheetViews>
    <sheetView zoomScaleNormal="100" workbookViewId="0">
      <selection activeCell="B35" sqref="B35"/>
    </sheetView>
  </sheetViews>
  <sheetFormatPr defaultColWidth="8.875" defaultRowHeight="14.25"/>
  <cols>
    <col min="2" max="2" width="25.375" bestFit="1" customWidth="1"/>
    <col min="3" max="3" width="5.875" bestFit="1" customWidth="1"/>
    <col min="6" max="6" width="3.625" bestFit="1" customWidth="1"/>
  </cols>
  <sheetData>
    <row r="1" spans="1:9" ht="15" thickBot="1">
      <c r="A1" s="1"/>
      <c r="B1" s="1"/>
      <c r="C1" s="1"/>
      <c r="D1" s="28" t="s">
        <v>25</v>
      </c>
      <c r="E1" s="29"/>
      <c r="F1" s="1"/>
      <c r="G1" s="28" t="s">
        <v>26</v>
      </c>
      <c r="H1" s="29"/>
      <c r="I1" s="25"/>
    </row>
    <row r="2" spans="1:9" ht="15" thickBot="1">
      <c r="A2" s="2"/>
      <c r="B2" s="3"/>
      <c r="C2" s="22" t="s">
        <v>24</v>
      </c>
      <c r="D2" s="13" t="s">
        <v>0</v>
      </c>
      <c r="E2" s="5" t="s">
        <v>1</v>
      </c>
      <c r="F2" s="22" t="s">
        <v>24</v>
      </c>
      <c r="G2" s="13" t="s">
        <v>0</v>
      </c>
      <c r="H2" s="5" t="s">
        <v>1</v>
      </c>
      <c r="I2" s="13" t="s">
        <v>3</v>
      </c>
    </row>
    <row r="3" spans="1:9">
      <c r="A3" s="20" t="s">
        <v>4</v>
      </c>
      <c r="B3" s="15" t="s">
        <v>27</v>
      </c>
      <c r="C3" s="6">
        <v>27</v>
      </c>
      <c r="D3" s="24">
        <v>0.12852752057613101</v>
      </c>
      <c r="E3" s="24">
        <v>35.7377319335937</v>
      </c>
      <c r="F3" s="6">
        <v>27</v>
      </c>
      <c r="G3" s="24">
        <v>0.12852752100000001</v>
      </c>
      <c r="H3" s="24">
        <v>35.737731930000002</v>
      </c>
      <c r="I3" s="7">
        <f>bdrate($D3:$D6,E3:E6,$G3:$G6,H3:H6)</f>
        <v>-4.1643355430664997E-10</v>
      </c>
    </row>
    <row r="4" spans="1:9">
      <c r="A4" s="14" t="s">
        <v>5</v>
      </c>
      <c r="B4" s="16"/>
      <c r="C4" s="8">
        <v>32</v>
      </c>
      <c r="D4" s="24">
        <v>8.7893679269547303E-2</v>
      </c>
      <c r="E4" s="24">
        <v>35.213768005371001</v>
      </c>
      <c r="F4" s="8">
        <v>32</v>
      </c>
      <c r="G4" s="24">
        <v>8.7893679000000002E-2</v>
      </c>
      <c r="H4" s="24">
        <v>35.213768010000003</v>
      </c>
      <c r="I4" s="9"/>
    </row>
    <row r="5" spans="1:9">
      <c r="A5" s="8"/>
      <c r="B5" s="16"/>
      <c r="C5" s="8">
        <v>38</v>
      </c>
      <c r="D5" s="24">
        <v>6.1944926697530801E-2</v>
      </c>
      <c r="E5" s="24">
        <v>34.599849700927699</v>
      </c>
      <c r="F5" s="8">
        <v>38</v>
      </c>
      <c r="G5" s="24">
        <v>6.1944926999999997E-2</v>
      </c>
      <c r="H5" s="24">
        <v>34.5998497</v>
      </c>
      <c r="I5" s="9"/>
    </row>
    <row r="6" spans="1:9" ht="15" thickBot="1">
      <c r="A6" s="8"/>
      <c r="B6" s="17"/>
      <c r="C6" s="10">
        <v>45</v>
      </c>
      <c r="D6" s="24">
        <v>3.9945505401234503E-2</v>
      </c>
      <c r="E6" s="24">
        <v>33.588111877441399</v>
      </c>
      <c r="F6" s="10">
        <v>45</v>
      </c>
      <c r="G6" s="24">
        <v>3.9945504999999999E-2</v>
      </c>
      <c r="H6" s="24">
        <v>33.58811188</v>
      </c>
      <c r="I6" s="2"/>
    </row>
    <row r="7" spans="1:9">
      <c r="A7" s="8"/>
      <c r="B7" s="15" t="s">
        <v>12</v>
      </c>
      <c r="C7" s="6">
        <v>27</v>
      </c>
      <c r="D7" s="24">
        <v>0.20939782664609</v>
      </c>
      <c r="E7" s="24">
        <v>33.5188598632812</v>
      </c>
      <c r="F7" s="6">
        <v>27</v>
      </c>
      <c r="G7" s="24">
        <v>0.186883681</v>
      </c>
      <c r="H7" s="24">
        <v>33.79171753</v>
      </c>
      <c r="I7" s="7">
        <f>bdrate($D7:$D10,E7:E10,$G7:$G10,H7:H10)</f>
        <v>-0.37963769255047386</v>
      </c>
    </row>
    <row r="8" spans="1:9">
      <c r="A8" s="8"/>
      <c r="C8" s="8">
        <v>32</v>
      </c>
      <c r="D8" s="24">
        <v>0.115536586934156</v>
      </c>
      <c r="E8" s="24">
        <v>32.664688110351499</v>
      </c>
      <c r="F8" s="8">
        <v>32</v>
      </c>
      <c r="G8" s="24">
        <v>0.104747299</v>
      </c>
      <c r="H8" s="24">
        <v>33.188018800000002</v>
      </c>
      <c r="I8" s="9"/>
    </row>
    <row r="9" spans="1:9">
      <c r="A9" s="8"/>
      <c r="B9" s="16"/>
      <c r="C9" s="8">
        <v>38</v>
      </c>
      <c r="D9" s="24">
        <v>7.21736754115226E-2</v>
      </c>
      <c r="E9" s="24">
        <v>31.948848724365199</v>
      </c>
      <c r="F9" s="8">
        <v>38</v>
      </c>
      <c r="G9" s="24">
        <v>6.7697563000000002E-2</v>
      </c>
      <c r="H9" s="24">
        <v>32.63478851</v>
      </c>
      <c r="I9" s="9"/>
    </row>
    <row r="10" spans="1:9" ht="15" thickBot="1">
      <c r="A10" s="8"/>
      <c r="B10" s="17"/>
      <c r="C10" s="10">
        <v>45</v>
      </c>
      <c r="D10" s="24">
        <v>4.2048932613168701E-2</v>
      </c>
      <c r="E10" s="24">
        <v>30.909786224365199</v>
      </c>
      <c r="F10" s="10">
        <v>45</v>
      </c>
      <c r="G10" s="24">
        <v>4.1668756000000001E-2</v>
      </c>
      <c r="H10" s="24">
        <v>31.763713840000001</v>
      </c>
      <c r="I10" s="9"/>
    </row>
    <row r="11" spans="1:9">
      <c r="A11" s="14"/>
      <c r="B11" s="21" t="s">
        <v>18</v>
      </c>
      <c r="C11" s="6">
        <v>27</v>
      </c>
      <c r="D11" s="24">
        <v>0.145952932098765</v>
      </c>
      <c r="E11" s="24">
        <v>34.099388122558501</v>
      </c>
      <c r="F11" s="6">
        <v>27</v>
      </c>
      <c r="G11" s="24">
        <v>0.13716467299999999</v>
      </c>
      <c r="H11" s="24">
        <v>34.443866730000003</v>
      </c>
      <c r="I11" s="7">
        <f>bdrate($D11:$D14,E11:E14,$G11:$G14,H11:H14)</f>
        <v>-0.34955525435732859</v>
      </c>
    </row>
    <row r="12" spans="1:9">
      <c r="A12" s="14"/>
      <c r="B12" s="16"/>
      <c r="C12" s="8">
        <v>32</v>
      </c>
      <c r="D12" s="24">
        <v>8.8893068415637794E-2</v>
      </c>
      <c r="E12" s="24">
        <v>33.478126525878899</v>
      </c>
      <c r="F12" s="8">
        <v>32</v>
      </c>
      <c r="G12" s="24">
        <v>8.3194766000000003E-2</v>
      </c>
      <c r="H12" s="24">
        <v>33.969821930000002</v>
      </c>
      <c r="I12" s="9"/>
    </row>
    <row r="13" spans="1:9">
      <c r="A13" s="8"/>
      <c r="C13" s="8">
        <v>38</v>
      </c>
      <c r="D13" s="24">
        <v>5.7060024434156302E-2</v>
      </c>
      <c r="E13" s="24">
        <v>32.784072875976499</v>
      </c>
      <c r="F13" s="8">
        <v>38</v>
      </c>
      <c r="G13" s="24">
        <v>5.5670493000000001E-2</v>
      </c>
      <c r="H13" s="24">
        <v>33.443874360000002</v>
      </c>
      <c r="I13" s="9"/>
    </row>
    <row r="14" spans="1:9" ht="15" thickBot="1">
      <c r="A14" s="8"/>
      <c r="B14" s="17"/>
      <c r="C14" s="10">
        <v>45</v>
      </c>
      <c r="D14" s="24">
        <v>3.3213895318930001E-2</v>
      </c>
      <c r="E14" s="24">
        <v>31.670574188232401</v>
      </c>
      <c r="F14" s="10">
        <v>45</v>
      </c>
      <c r="G14" s="24">
        <v>3.4042085E-2</v>
      </c>
      <c r="H14" s="24">
        <v>32.529850009999997</v>
      </c>
      <c r="I14" s="2"/>
    </row>
    <row r="15" spans="1:9">
      <c r="A15" s="8"/>
      <c r="B15" s="15" t="s">
        <v>22</v>
      </c>
      <c r="C15" s="6">
        <v>27</v>
      </c>
      <c r="D15" s="24">
        <v>0.12527874228395</v>
      </c>
      <c r="E15" s="24">
        <v>38.247966766357401</v>
      </c>
      <c r="F15" s="6">
        <v>27</v>
      </c>
      <c r="G15" s="24">
        <v>0.125278742</v>
      </c>
      <c r="H15" s="24">
        <v>38.247966769999998</v>
      </c>
      <c r="I15" s="7">
        <f>bdrate($D15:$D18,E15:E18,$G15:$G18,H15:H18)</f>
        <v>-4.6636003947497784E-9</v>
      </c>
    </row>
    <row r="16" spans="1:9">
      <c r="A16" s="8"/>
      <c r="C16" s="8">
        <v>32</v>
      </c>
      <c r="D16" s="24">
        <v>8.4038548096707799E-2</v>
      </c>
      <c r="E16" s="24">
        <v>37.433433532714801</v>
      </c>
      <c r="F16" s="8">
        <v>32</v>
      </c>
      <c r="G16" s="24">
        <v>8.4038548000000005E-2</v>
      </c>
      <c r="H16" s="24">
        <v>37.433433530000002</v>
      </c>
      <c r="I16" s="9"/>
    </row>
    <row r="17" spans="1:9">
      <c r="A17" s="8"/>
      <c r="B17" s="16"/>
      <c r="C17" s="8">
        <v>38</v>
      </c>
      <c r="D17" s="24">
        <v>5.7751575360082297E-2</v>
      </c>
      <c r="E17" s="24">
        <v>36.477035522460902</v>
      </c>
      <c r="F17" s="8">
        <v>38</v>
      </c>
      <c r="G17" s="24">
        <v>5.7751574999999999E-2</v>
      </c>
      <c r="H17" s="24">
        <v>36.477035520000001</v>
      </c>
      <c r="I17" s="9"/>
    </row>
    <row r="18" spans="1:9" ht="15" thickBot="1">
      <c r="A18" s="8"/>
      <c r="B18" s="17"/>
      <c r="C18" s="10">
        <v>45</v>
      </c>
      <c r="D18" s="24">
        <v>3.5754565329218099E-2</v>
      </c>
      <c r="E18" s="24">
        <v>34.980873107910099</v>
      </c>
      <c r="F18" s="10">
        <v>45</v>
      </c>
      <c r="G18" s="24">
        <v>3.5754565000000002E-2</v>
      </c>
      <c r="H18" s="24">
        <v>34.980873109999997</v>
      </c>
      <c r="I18" s="9"/>
    </row>
    <row r="19" spans="1:9">
      <c r="A19" s="8"/>
      <c r="B19" s="21" t="s">
        <v>23</v>
      </c>
      <c r="C19" s="6">
        <v>27</v>
      </c>
      <c r="D19" s="24">
        <v>0.150858892746913</v>
      </c>
      <c r="E19" s="24">
        <v>35.021903991699197</v>
      </c>
      <c r="F19" s="6">
        <v>27</v>
      </c>
      <c r="G19" s="24">
        <v>0.128654514</v>
      </c>
      <c r="H19" s="24">
        <v>35.776451109999996</v>
      </c>
      <c r="I19" s="7">
        <f>bdrate($D19:$D22,E19:E22,$G19:$G22,H19:H22)</f>
        <v>-0.44285663698371691</v>
      </c>
    </row>
    <row r="20" spans="1:9">
      <c r="A20" s="8"/>
      <c r="B20" s="16"/>
      <c r="C20" s="8">
        <v>32</v>
      </c>
      <c r="D20" s="24">
        <v>9.2465599279835303E-2</v>
      </c>
      <c r="E20" s="24">
        <v>33.912879943847599</v>
      </c>
      <c r="F20" s="8">
        <v>32</v>
      </c>
      <c r="G20" s="24">
        <v>8.2682292000000004E-2</v>
      </c>
      <c r="H20" s="24">
        <v>34.997596739999999</v>
      </c>
      <c r="I20" s="9"/>
    </row>
    <row r="21" spans="1:9">
      <c r="A21" s="8"/>
      <c r="B21" s="16"/>
      <c r="C21" s="8">
        <v>38</v>
      </c>
      <c r="D21" s="24">
        <v>5.93166473765432E-2</v>
      </c>
      <c r="E21" s="24">
        <v>32.780540466308501</v>
      </c>
      <c r="F21" s="8">
        <v>38</v>
      </c>
      <c r="G21" s="24">
        <v>5.5543821E-2</v>
      </c>
      <c r="H21" s="24">
        <v>34.110927580000002</v>
      </c>
      <c r="I21" s="9"/>
    </row>
    <row r="22" spans="1:9" ht="15" thickBot="1">
      <c r="A22" s="8"/>
      <c r="B22" s="17"/>
      <c r="C22" s="10">
        <v>45</v>
      </c>
      <c r="D22" s="24">
        <v>3.3872974537036998E-2</v>
      </c>
      <c r="E22" s="24">
        <v>31.2306823730468</v>
      </c>
      <c r="F22" s="10">
        <v>45</v>
      </c>
      <c r="G22" s="24">
        <v>3.3333333E-2</v>
      </c>
      <c r="H22" s="24">
        <v>32.721855159999997</v>
      </c>
      <c r="I22" s="2"/>
    </row>
    <row r="23" spans="1:9">
      <c r="A23" s="20" t="s">
        <v>6</v>
      </c>
      <c r="B23" s="15" t="s">
        <v>28</v>
      </c>
      <c r="C23" s="6">
        <v>27</v>
      </c>
      <c r="D23" s="24">
        <v>0.16314519898504201</v>
      </c>
      <c r="E23" s="24">
        <v>35.106185913085902</v>
      </c>
      <c r="F23" s="6">
        <v>27</v>
      </c>
      <c r="G23" s="24">
        <v>0.165908787</v>
      </c>
      <c r="H23" s="24">
        <v>35.90776443</v>
      </c>
      <c r="I23" s="7">
        <f>bdrate($D23:$D26,E23:E26,$G23:$G26,H23:H26)</f>
        <v>-0.27644272031452399</v>
      </c>
    </row>
    <row r="24" spans="1:9">
      <c r="A24" s="14" t="s">
        <v>7</v>
      </c>
      <c r="B24" s="16"/>
      <c r="C24" s="8">
        <v>32</v>
      </c>
      <c r="D24" s="24">
        <v>0.113540831997863</v>
      </c>
      <c r="E24" s="24">
        <v>34.248420715332003</v>
      </c>
      <c r="F24" s="8">
        <v>32</v>
      </c>
      <c r="G24" s="24">
        <v>0.117204193</v>
      </c>
      <c r="H24" s="24">
        <v>35.186260220000001</v>
      </c>
      <c r="I24" s="9"/>
    </row>
    <row r="25" spans="1:9">
      <c r="A25" s="8"/>
      <c r="B25" s="16"/>
      <c r="C25" s="8">
        <v>38</v>
      </c>
      <c r="D25" s="24">
        <v>7.9633246527777701E-2</v>
      </c>
      <c r="E25" s="24">
        <v>33.278575897216797</v>
      </c>
      <c r="F25" s="8">
        <v>38</v>
      </c>
      <c r="G25" s="24">
        <v>8.3521968000000002E-2</v>
      </c>
      <c r="H25" s="24">
        <v>34.313186649999999</v>
      </c>
      <c r="I25" s="9"/>
    </row>
    <row r="26" spans="1:9" ht="15" thickBot="1">
      <c r="A26" s="8"/>
      <c r="B26" s="17"/>
      <c r="C26" s="10">
        <v>45</v>
      </c>
      <c r="D26" s="24">
        <v>4.9858940972222203E-2</v>
      </c>
      <c r="E26" s="24">
        <v>31.819387435913001</v>
      </c>
      <c r="F26" s="10">
        <v>45</v>
      </c>
      <c r="G26" s="24">
        <v>5.3235176000000002E-2</v>
      </c>
      <c r="H26" s="24">
        <v>32.925270079999997</v>
      </c>
      <c r="I26" s="2"/>
    </row>
    <row r="27" spans="1:9">
      <c r="A27" s="8"/>
      <c r="B27" s="15" t="s">
        <v>13</v>
      </c>
      <c r="C27" s="6">
        <v>27</v>
      </c>
      <c r="D27" s="24">
        <v>0.20293219150641001</v>
      </c>
      <c r="E27" s="24">
        <v>34.739761352538999</v>
      </c>
      <c r="F27" s="6">
        <v>27</v>
      </c>
      <c r="G27" s="24">
        <v>0.21397402500000001</v>
      </c>
      <c r="H27" s="24">
        <v>35.309455870000001</v>
      </c>
      <c r="I27" s="7">
        <f>bdrate($D27:$D30,E27:E30,$G27:$G30,H27:H30)</f>
        <v>-0.18118243867165296</v>
      </c>
    </row>
    <row r="28" spans="1:9">
      <c r="A28" s="8"/>
      <c r="B28" s="16"/>
      <c r="C28" s="8">
        <v>32</v>
      </c>
      <c r="D28" s="24">
        <v>0.14119257478632399</v>
      </c>
      <c r="E28" s="24">
        <v>33.811141967773402</v>
      </c>
      <c r="F28" s="8">
        <v>32</v>
      </c>
      <c r="G28" s="24">
        <v>0.14977881300000001</v>
      </c>
      <c r="H28" s="24">
        <v>34.519222259999999</v>
      </c>
      <c r="I28" s="9"/>
    </row>
    <row r="29" spans="1:9">
      <c r="A29" s="8"/>
      <c r="B29" s="16"/>
      <c r="C29" s="8">
        <v>38</v>
      </c>
      <c r="D29" s="24">
        <v>9.9886485042734993E-2</v>
      </c>
      <c r="E29" s="24">
        <v>32.753860473632798</v>
      </c>
      <c r="F29" s="8">
        <v>38</v>
      </c>
      <c r="G29" s="24">
        <v>0.10715060799999999</v>
      </c>
      <c r="H29" s="24">
        <v>33.604583740000002</v>
      </c>
      <c r="I29" s="9"/>
    </row>
    <row r="30" spans="1:9" ht="15" thickBot="1">
      <c r="A30" s="8"/>
      <c r="B30" s="17"/>
      <c r="C30" s="10">
        <v>45</v>
      </c>
      <c r="D30" s="24">
        <v>6.2670272435897401E-2</v>
      </c>
      <c r="E30" s="24">
        <v>31.0444221496582</v>
      </c>
      <c r="F30" s="10">
        <v>45</v>
      </c>
      <c r="G30" s="24">
        <v>6.9599693000000004E-2</v>
      </c>
      <c r="H30" s="24">
        <v>32.11945343</v>
      </c>
      <c r="I30" s="2"/>
    </row>
    <row r="31" spans="1:9">
      <c r="A31" s="14"/>
      <c r="B31" s="15" t="s">
        <v>29</v>
      </c>
      <c r="C31" s="6">
        <v>27</v>
      </c>
      <c r="D31" s="24">
        <v>0.39725060096153803</v>
      </c>
      <c r="E31" s="24">
        <v>31.388912200927699</v>
      </c>
      <c r="F31" s="6">
        <v>27</v>
      </c>
      <c r="G31" s="24">
        <v>0.36040665100000002</v>
      </c>
      <c r="H31" s="24">
        <v>32.454494480000001</v>
      </c>
      <c r="I31" s="7">
        <f>bdrate($D31:$D34,E31:E34,$G31:$G34,H31:H34)</f>
        <v>-0.4620342897539258</v>
      </c>
    </row>
    <row r="32" spans="1:9">
      <c r="A32" s="14"/>
      <c r="B32" s="16"/>
      <c r="C32" s="8">
        <v>32</v>
      </c>
      <c r="D32" s="24">
        <v>0.26682775774572598</v>
      </c>
      <c r="E32" s="24">
        <v>30.264736175537099</v>
      </c>
      <c r="F32" s="8">
        <v>32</v>
      </c>
      <c r="G32" s="24">
        <v>0.23519547900000001</v>
      </c>
      <c r="H32" s="24">
        <v>31.599323269999999</v>
      </c>
      <c r="I32" s="9"/>
    </row>
    <row r="33" spans="1:9">
      <c r="A33" s="8"/>
      <c r="B33" s="16"/>
      <c r="C33" s="8">
        <v>38</v>
      </c>
      <c r="D33" s="24">
        <v>0.18245108840811899</v>
      </c>
      <c r="E33" s="24">
        <v>29.153356552123999</v>
      </c>
      <c r="F33" s="8">
        <v>38</v>
      </c>
      <c r="G33" s="24">
        <v>0.16614583299999999</v>
      </c>
      <c r="H33" s="24">
        <v>30.692007060000002</v>
      </c>
      <c r="I33" s="9"/>
    </row>
    <row r="34" spans="1:9" ht="15" thickBot="1">
      <c r="A34" s="8"/>
      <c r="B34" s="17"/>
      <c r="C34" s="10">
        <v>45</v>
      </c>
      <c r="D34" s="24">
        <v>0.10890925480769199</v>
      </c>
      <c r="E34" s="24">
        <v>27.6265258789062</v>
      </c>
      <c r="F34" s="10">
        <v>45</v>
      </c>
      <c r="G34" s="24">
        <v>0.104974626</v>
      </c>
      <c r="H34" s="24">
        <v>29.313911439999998</v>
      </c>
      <c r="I34" s="2"/>
    </row>
    <row r="35" spans="1:9">
      <c r="A35" s="8"/>
      <c r="B35" s="15" t="s">
        <v>30</v>
      </c>
      <c r="C35" s="6">
        <v>27</v>
      </c>
      <c r="D35" s="24">
        <v>0.43841980502136702</v>
      </c>
      <c r="E35" s="24">
        <v>33.166545867919901</v>
      </c>
      <c r="F35" s="6">
        <v>27</v>
      </c>
      <c r="G35" s="24">
        <v>0.438419805</v>
      </c>
      <c r="H35" s="24">
        <v>33.16654587</v>
      </c>
      <c r="I35" s="7">
        <f>bdrate($D35:$D38,E35:E38,$G35:$G38,H35:H38)</f>
        <v>7.0235239846283548E-10</v>
      </c>
    </row>
    <row r="36" spans="1:9">
      <c r="A36" s="8"/>
      <c r="B36" s="16"/>
      <c r="C36" s="8">
        <v>32</v>
      </c>
      <c r="D36" s="24">
        <v>0.29450287126068297</v>
      </c>
      <c r="E36" s="24">
        <v>32.267864227294901</v>
      </c>
      <c r="F36" s="8">
        <v>32</v>
      </c>
      <c r="G36" s="24">
        <v>0.294502871</v>
      </c>
      <c r="H36" s="24">
        <v>32.267864230000001</v>
      </c>
      <c r="I36" s="9"/>
    </row>
    <row r="37" spans="1:9">
      <c r="A37" s="8"/>
      <c r="B37" s="16"/>
      <c r="C37" s="8">
        <v>38</v>
      </c>
      <c r="D37" s="24">
        <v>0.18737229567307601</v>
      </c>
      <c r="E37" s="24">
        <v>31.106258392333899</v>
      </c>
      <c r="F37" s="8">
        <v>38</v>
      </c>
      <c r="G37" s="24">
        <v>0.18737229599999999</v>
      </c>
      <c r="H37" s="24">
        <v>31.106258390000001</v>
      </c>
      <c r="I37" s="9"/>
    </row>
    <row r="38" spans="1:9" ht="15" thickBot="1">
      <c r="A38" s="8"/>
      <c r="B38" s="17"/>
      <c r="C38" s="10">
        <v>45</v>
      </c>
      <c r="D38" s="24">
        <v>0.105884415064102</v>
      </c>
      <c r="E38" s="24">
        <v>29.440130233764599</v>
      </c>
      <c r="F38" s="10">
        <v>45</v>
      </c>
      <c r="G38" s="24">
        <v>0.105884415</v>
      </c>
      <c r="H38" s="24">
        <v>29.440130230000001</v>
      </c>
      <c r="I38" s="2"/>
    </row>
    <row r="39" spans="1:9">
      <c r="A39" s="20" t="s">
        <v>8</v>
      </c>
      <c r="B39" s="15" t="s">
        <v>14</v>
      </c>
      <c r="C39" s="6">
        <v>27</v>
      </c>
      <c r="D39" s="24">
        <v>0.18964009081196501</v>
      </c>
      <c r="E39" s="24">
        <v>36.120231628417898</v>
      </c>
      <c r="F39" s="6">
        <v>27</v>
      </c>
      <c r="G39" s="24">
        <v>0.18720619699999999</v>
      </c>
      <c r="H39" s="24">
        <v>36.570861819999998</v>
      </c>
      <c r="I39" s="7">
        <f>bdrate($D39:$D42,E39:E42,$G39:$G42,H39:H42)</f>
        <v>-0.14365928589989885</v>
      </c>
    </row>
    <row r="40" spans="1:9">
      <c r="A40" s="14" t="s">
        <v>9</v>
      </c>
      <c r="B40" s="16"/>
      <c r="C40" s="8">
        <v>32</v>
      </c>
      <c r="D40" s="24">
        <v>0.13537994123931599</v>
      </c>
      <c r="E40" s="24">
        <v>35.041999816894503</v>
      </c>
      <c r="F40" s="8">
        <v>32</v>
      </c>
      <c r="G40" s="24">
        <v>0.13403779399999999</v>
      </c>
      <c r="H40" s="24">
        <v>35.545059199999997</v>
      </c>
      <c r="I40" s="9"/>
    </row>
    <row r="41" spans="1:9">
      <c r="A41" s="8"/>
      <c r="B41" s="16"/>
      <c r="C41" s="8">
        <v>38</v>
      </c>
      <c r="D41" s="24">
        <v>9.5586271367521305E-2</v>
      </c>
      <c r="E41" s="24">
        <v>33.824668884277301</v>
      </c>
      <c r="F41" s="8">
        <v>38</v>
      </c>
      <c r="G41" s="24">
        <v>9.5172276E-2</v>
      </c>
      <c r="H41" s="24">
        <v>34.369338990000003</v>
      </c>
      <c r="I41" s="9"/>
    </row>
    <row r="42" spans="1:9" ht="15" thickBot="1">
      <c r="A42" s="8"/>
      <c r="B42" s="17"/>
      <c r="C42" s="10">
        <v>45</v>
      </c>
      <c r="D42" s="24">
        <v>5.9728899572649499E-2</v>
      </c>
      <c r="E42" s="24">
        <v>31.920585632324201</v>
      </c>
      <c r="F42" s="10">
        <v>45</v>
      </c>
      <c r="G42" s="24">
        <v>6.0112846999999997E-2</v>
      </c>
      <c r="H42" s="24">
        <v>32.563842770000001</v>
      </c>
      <c r="I42" s="2"/>
    </row>
    <row r="43" spans="1:9">
      <c r="A43" s="8"/>
      <c r="B43" s="15" t="s">
        <v>19</v>
      </c>
      <c r="C43" s="6">
        <v>27</v>
      </c>
      <c r="D43" s="24">
        <v>0.30197315705128203</v>
      </c>
      <c r="E43" s="24">
        <v>32.797653198242102</v>
      </c>
      <c r="F43" s="6">
        <v>27</v>
      </c>
      <c r="G43" s="24">
        <v>0.259264824</v>
      </c>
      <c r="H43" s="24">
        <v>33.753532409999998</v>
      </c>
      <c r="I43" s="7">
        <f>bdrate($D43:$D46,E43:E46,$G43:$G46,H43:H46)</f>
        <v>-0.45159087688195687</v>
      </c>
    </row>
    <row r="44" spans="1:9">
      <c r="A44" s="8"/>
      <c r="B44" s="16"/>
      <c r="C44" s="8">
        <v>32</v>
      </c>
      <c r="D44" s="24">
        <v>0.199098557692307</v>
      </c>
      <c r="E44" s="24">
        <v>31.6095657348632</v>
      </c>
      <c r="F44" s="8">
        <v>32</v>
      </c>
      <c r="G44" s="24">
        <v>0.172970085</v>
      </c>
      <c r="H44" s="24">
        <v>32.864547729999998</v>
      </c>
      <c r="I44" s="9"/>
    </row>
    <row r="45" spans="1:9">
      <c r="A45" s="8"/>
      <c r="B45" s="16"/>
      <c r="C45" s="8">
        <v>38</v>
      </c>
      <c r="D45" s="24">
        <v>0.13370058760683701</v>
      </c>
      <c r="E45" s="24">
        <v>30.422903060913001</v>
      </c>
      <c r="F45" s="8">
        <v>38</v>
      </c>
      <c r="G45" s="24">
        <v>0.11912726999999999</v>
      </c>
      <c r="H45" s="24">
        <v>31.884201050000001</v>
      </c>
      <c r="I45" s="9"/>
    </row>
    <row r="46" spans="1:9" ht="15" thickBot="1">
      <c r="A46" s="8"/>
      <c r="B46" s="17"/>
      <c r="C46" s="10">
        <v>45</v>
      </c>
      <c r="D46" s="24">
        <v>7.8472222222222193E-2</v>
      </c>
      <c r="E46" s="24">
        <v>28.700370788574201</v>
      </c>
      <c r="F46" s="10">
        <v>45</v>
      </c>
      <c r="G46" s="24">
        <v>7.3844818000000007E-2</v>
      </c>
      <c r="H46" s="24">
        <v>30.38991356</v>
      </c>
      <c r="I46" s="2"/>
    </row>
    <row r="47" spans="1:9">
      <c r="A47" s="14"/>
      <c r="B47" s="15" t="s">
        <v>15</v>
      </c>
      <c r="C47" s="6">
        <v>27</v>
      </c>
      <c r="D47" s="24">
        <v>0.30123530982905899</v>
      </c>
      <c r="E47" s="24">
        <v>32.879756927490199</v>
      </c>
      <c r="F47" s="6">
        <v>27</v>
      </c>
      <c r="G47" s="24">
        <v>0.20791599899999999</v>
      </c>
      <c r="H47" s="24">
        <v>34.258644099999998</v>
      </c>
      <c r="I47" s="7">
        <f>bdrate($D47:$D50,E47:E50,$G47:$G50,H47:H50)</f>
        <v>-0.64669444929325715</v>
      </c>
    </row>
    <row r="48" spans="1:9">
      <c r="A48" s="14"/>
      <c r="B48" s="16"/>
      <c r="C48" s="8">
        <v>32</v>
      </c>
      <c r="D48" s="24">
        <v>0.199121928418803</v>
      </c>
      <c r="E48" s="24">
        <v>31.612928390502901</v>
      </c>
      <c r="F48" s="8">
        <v>32</v>
      </c>
      <c r="G48" s="24">
        <v>0.13011485</v>
      </c>
      <c r="H48" s="24">
        <v>33.308174129999998</v>
      </c>
      <c r="I48" s="9"/>
    </row>
    <row r="49" spans="1:9">
      <c r="A49" s="8"/>
      <c r="B49" s="16"/>
      <c r="C49" s="8">
        <v>38</v>
      </c>
      <c r="D49" s="24">
        <v>0.13046541132478601</v>
      </c>
      <c r="E49" s="24">
        <v>30.2335491180419</v>
      </c>
      <c r="F49" s="8">
        <v>38</v>
      </c>
      <c r="G49" s="24">
        <v>8.6665330999999998E-2</v>
      </c>
      <c r="H49" s="24">
        <v>32.294708249999999</v>
      </c>
      <c r="I49" s="9"/>
    </row>
    <row r="50" spans="1:9" ht="15" thickBot="1">
      <c r="A50" s="8"/>
      <c r="B50" s="17"/>
      <c r="C50" s="10">
        <v>45</v>
      </c>
      <c r="D50" s="24">
        <v>7.5540865384615297E-2</v>
      </c>
      <c r="E50" s="24">
        <v>28.373455047607401</v>
      </c>
      <c r="F50" s="10">
        <v>45</v>
      </c>
      <c r="G50" s="24">
        <v>5.6954459999999998E-2</v>
      </c>
      <c r="H50" s="24">
        <v>30.816022870000001</v>
      </c>
      <c r="I50" s="2"/>
    </row>
    <row r="51" spans="1:9">
      <c r="A51" s="8"/>
      <c r="B51" s="15" t="s">
        <v>20</v>
      </c>
      <c r="C51" s="6">
        <v>27</v>
      </c>
      <c r="D51" s="24">
        <v>0.41608239850427298</v>
      </c>
      <c r="E51" s="24">
        <v>34.130081176757798</v>
      </c>
      <c r="F51" s="6">
        <v>27</v>
      </c>
      <c r="G51" s="24">
        <v>0.44148303999999999</v>
      </c>
      <c r="H51" s="24">
        <v>34.004810329999998</v>
      </c>
      <c r="I51" s="7">
        <f>bdrate($D51:$D54,E51:E54,$G51:$G54,H51:H54)</f>
        <v>6.0607892612432712E-2</v>
      </c>
    </row>
    <row r="52" spans="1:9">
      <c r="A52" s="8"/>
      <c r="B52" s="16"/>
      <c r="C52" s="8">
        <v>32</v>
      </c>
      <c r="D52" s="24">
        <v>0.286942441239316</v>
      </c>
      <c r="E52" s="24">
        <v>32.937938690185497</v>
      </c>
      <c r="F52" s="8">
        <v>32</v>
      </c>
      <c r="G52" s="24">
        <v>0.30866386200000001</v>
      </c>
      <c r="H52" s="24">
        <v>32.946212770000002</v>
      </c>
      <c r="I52" s="9"/>
    </row>
    <row r="53" spans="1:9">
      <c r="A53" s="8"/>
      <c r="B53" s="16"/>
      <c r="C53" s="8">
        <v>38</v>
      </c>
      <c r="D53" s="24">
        <v>0.19703525641025599</v>
      </c>
      <c r="E53" s="24">
        <v>31.568296432495099</v>
      </c>
      <c r="F53" s="8">
        <v>38</v>
      </c>
      <c r="G53" s="24">
        <v>0.215778579</v>
      </c>
      <c r="H53" s="24">
        <v>31.72540283</v>
      </c>
      <c r="I53" s="9"/>
    </row>
    <row r="54" spans="1:9" ht="15" thickBot="1">
      <c r="A54" s="8"/>
      <c r="B54" s="17"/>
      <c r="C54" s="10">
        <v>45</v>
      </c>
      <c r="D54" s="24">
        <v>0.117561431623931</v>
      </c>
      <c r="E54" s="24">
        <v>29.6521797180175</v>
      </c>
      <c r="F54" s="10">
        <v>45</v>
      </c>
      <c r="G54" s="24">
        <v>0.131984509</v>
      </c>
      <c r="H54" s="24">
        <v>29.913326260000002</v>
      </c>
      <c r="I54" s="2"/>
    </row>
    <row r="55" spans="1:9">
      <c r="A55" s="20" t="s">
        <v>10</v>
      </c>
      <c r="B55" s="15" t="s">
        <v>16</v>
      </c>
      <c r="C55" s="6">
        <v>27</v>
      </c>
      <c r="D55" s="24">
        <v>3.8115596064814801E-2</v>
      </c>
      <c r="E55" s="24">
        <v>38.637443542480398</v>
      </c>
      <c r="F55" s="6">
        <v>27</v>
      </c>
      <c r="G55" s="24">
        <v>3.4354744999999999E-2</v>
      </c>
      <c r="H55" s="24">
        <v>39.529769899999998</v>
      </c>
      <c r="I55" s="7">
        <f>bdrate($D55:$D58,E55:E58,$G55:$G58,H55:H58)</f>
        <v>-0.38417965150503508</v>
      </c>
    </row>
    <row r="56" spans="1:9">
      <c r="A56" s="14" t="s">
        <v>11</v>
      </c>
      <c r="B56" s="16"/>
      <c r="C56" s="8">
        <v>32</v>
      </c>
      <c r="D56" s="24">
        <v>2.6616753472222199E-2</v>
      </c>
      <c r="E56" s="24">
        <v>37.999210357666001</v>
      </c>
      <c r="F56" s="8">
        <v>32</v>
      </c>
      <c r="G56" s="24">
        <v>2.4573929000000001E-2</v>
      </c>
      <c r="H56" s="24">
        <v>39.034282679999997</v>
      </c>
      <c r="I56" s="9"/>
    </row>
    <row r="57" spans="1:9">
      <c r="A57" s="8"/>
      <c r="B57" s="16"/>
      <c r="C57" s="8">
        <v>38</v>
      </c>
      <c r="D57" s="24">
        <v>1.9542824074074001E-2</v>
      </c>
      <c r="E57" s="24">
        <v>37.205001831054602</v>
      </c>
      <c r="F57" s="8">
        <v>38</v>
      </c>
      <c r="G57" s="24">
        <v>1.8317781000000002E-2</v>
      </c>
      <c r="H57" s="24">
        <v>38.366252899999999</v>
      </c>
      <c r="I57" s="9"/>
    </row>
    <row r="58" spans="1:9" ht="15" thickBot="1">
      <c r="A58" s="8"/>
      <c r="B58" s="17"/>
      <c r="C58" s="10">
        <v>45</v>
      </c>
      <c r="D58" s="24">
        <v>1.37033420138888E-2</v>
      </c>
      <c r="E58" s="24">
        <v>35.718410491943303</v>
      </c>
      <c r="F58" s="10">
        <v>45</v>
      </c>
      <c r="G58" s="24">
        <v>1.3032769E-2</v>
      </c>
      <c r="H58" s="24">
        <v>37.103473659999999</v>
      </c>
      <c r="I58" s="2"/>
    </row>
    <row r="59" spans="1:9">
      <c r="A59" s="8"/>
      <c r="B59" s="15" t="s">
        <v>17</v>
      </c>
      <c r="C59" s="6">
        <v>27</v>
      </c>
      <c r="D59" s="24">
        <v>2.85101996527777E-2</v>
      </c>
      <c r="E59" s="24">
        <v>38.910476684570298</v>
      </c>
      <c r="F59" s="6">
        <v>27</v>
      </c>
      <c r="G59" s="24">
        <v>2.5199652999999999E-2</v>
      </c>
      <c r="H59" s="24">
        <v>39.756744380000001</v>
      </c>
      <c r="I59" s="7">
        <f>bdrate($D59:$D62,E59:E62,$G59:$G62,H59:H62)</f>
        <v>-0.45174115335861909</v>
      </c>
    </row>
    <row r="60" spans="1:9">
      <c r="A60" s="8"/>
      <c r="B60" s="16"/>
      <c r="C60" s="8">
        <v>32</v>
      </c>
      <c r="D60" s="24">
        <v>1.89735243055555E-2</v>
      </c>
      <c r="E60" s="24">
        <v>38.380584716796797</v>
      </c>
      <c r="F60" s="8">
        <v>32</v>
      </c>
      <c r="G60" s="24">
        <v>1.7516276000000001E-2</v>
      </c>
      <c r="H60" s="24">
        <v>39.396709440000002</v>
      </c>
      <c r="I60" s="9"/>
    </row>
    <row r="61" spans="1:9">
      <c r="A61" s="8"/>
      <c r="B61" s="16"/>
      <c r="C61" s="8">
        <v>38</v>
      </c>
      <c r="D61" s="24">
        <v>1.3864293981481399E-2</v>
      </c>
      <c r="E61" s="24">
        <v>37.796432495117102</v>
      </c>
      <c r="F61" s="8">
        <v>38</v>
      </c>
      <c r="G61" s="24">
        <v>1.3104022E-2</v>
      </c>
      <c r="H61" s="24">
        <v>38.905838009999997</v>
      </c>
      <c r="I61" s="9"/>
    </row>
    <row r="62" spans="1:9" ht="15" thickBot="1">
      <c r="A62" s="8"/>
      <c r="B62" s="17"/>
      <c r="C62" s="10">
        <v>45</v>
      </c>
      <c r="D62" s="24">
        <v>9.7753906249999998E-3</v>
      </c>
      <c r="E62" s="24">
        <v>36.653110504150298</v>
      </c>
      <c r="F62" s="10">
        <v>45</v>
      </c>
      <c r="G62" s="24">
        <v>9.4505930000000002E-3</v>
      </c>
      <c r="H62" s="24">
        <v>37.941993709999998</v>
      </c>
      <c r="I62" s="2"/>
    </row>
    <row r="63" spans="1:9">
      <c r="A63" s="8"/>
      <c r="B63" s="15" t="s">
        <v>21</v>
      </c>
      <c r="C63" s="6">
        <v>27</v>
      </c>
      <c r="D63" s="24">
        <v>3.2752097800925903E-2</v>
      </c>
      <c r="E63" s="24">
        <v>39.020072937011697</v>
      </c>
      <c r="F63" s="6">
        <v>27</v>
      </c>
      <c r="G63" s="24">
        <v>2.8404585999999999E-2</v>
      </c>
      <c r="H63" s="24">
        <v>39.940261839999998</v>
      </c>
      <c r="I63" s="7">
        <f>bdrate($D63:$D66,E63:E66,$G63:$G66,H63:H66)</f>
        <v>-0.4525279300328614</v>
      </c>
    </row>
    <row r="64" spans="1:9">
      <c r="A64" s="8"/>
      <c r="B64" s="16"/>
      <c r="C64" s="8">
        <v>32</v>
      </c>
      <c r="D64" s="24">
        <v>2.1720196759259201E-2</v>
      </c>
      <c r="E64" s="24">
        <v>38.345558166503899</v>
      </c>
      <c r="F64" s="8">
        <v>32</v>
      </c>
      <c r="G64" s="24">
        <v>1.9684968000000001E-2</v>
      </c>
      <c r="H64" s="24">
        <v>39.480194089999998</v>
      </c>
      <c r="I64" s="9"/>
    </row>
    <row r="65" spans="1:9">
      <c r="A65" s="8"/>
      <c r="B65" s="16"/>
      <c r="C65" s="8">
        <v>38</v>
      </c>
      <c r="D65" s="24">
        <v>1.56731047453703E-2</v>
      </c>
      <c r="E65" s="24">
        <v>37.61669921875</v>
      </c>
      <c r="F65" s="8">
        <v>38</v>
      </c>
      <c r="G65" s="24">
        <v>1.4578270000000001E-2</v>
      </c>
      <c r="H65" s="24">
        <v>38.877201079999999</v>
      </c>
      <c r="I65" s="9"/>
    </row>
    <row r="66" spans="1:9" ht="15" thickBot="1">
      <c r="A66" s="8"/>
      <c r="B66" s="17"/>
      <c r="C66" s="10">
        <v>45</v>
      </c>
      <c r="D66" s="24">
        <v>1.09653501157407E-2</v>
      </c>
      <c r="E66" s="24">
        <v>36.334205627441399</v>
      </c>
      <c r="F66" s="10">
        <v>45</v>
      </c>
      <c r="G66" s="24">
        <v>1.0481771000000001E-2</v>
      </c>
      <c r="H66" s="24">
        <v>37.781734470000004</v>
      </c>
      <c r="I66" s="2"/>
    </row>
    <row r="67" spans="1:9" ht="15" thickBot="1">
      <c r="A67" s="11"/>
      <c r="B67" s="4" t="s">
        <v>2</v>
      </c>
      <c r="C67" s="18"/>
      <c r="D67" s="11"/>
      <c r="E67" s="18"/>
      <c r="F67" s="18"/>
      <c r="G67" s="11"/>
      <c r="H67" s="18"/>
      <c r="I67" s="19">
        <f>AVERAGE(I3:I66)</f>
        <v>-0.28509340571053121</v>
      </c>
    </row>
    <row r="68" spans="1:9">
      <c r="A68" s="9"/>
      <c r="B68" s="8" t="s">
        <v>4</v>
      </c>
      <c r="C68" s="1"/>
      <c r="D68" s="1"/>
      <c r="E68" s="1"/>
      <c r="F68" s="1"/>
      <c r="G68" s="9"/>
      <c r="H68" s="1"/>
      <c r="I68" s="23">
        <f>AVERAGE(I3:I22)</f>
        <v>-0.23440991779431064</v>
      </c>
    </row>
    <row r="69" spans="1:9">
      <c r="A69" s="12"/>
      <c r="B69" s="12" t="s">
        <v>6</v>
      </c>
      <c r="C69" s="12"/>
      <c r="D69" s="12"/>
      <c r="E69" s="12"/>
      <c r="F69" s="12"/>
      <c r="G69" s="12"/>
      <c r="H69" s="12"/>
      <c r="I69" s="23">
        <f>AVERAGE(I23:I38)</f>
        <v>-0.22991486200943759</v>
      </c>
    </row>
    <row r="70" spans="1:9">
      <c r="A70" s="12"/>
      <c r="B70" s="12" t="s">
        <v>8</v>
      </c>
      <c r="C70" s="12"/>
      <c r="D70" s="12"/>
      <c r="E70" s="12"/>
      <c r="F70" s="12"/>
      <c r="G70" s="12"/>
      <c r="H70" s="12"/>
      <c r="I70" s="23">
        <f>AVERAGE(I39:I54)</f>
        <v>-0.29533417986567007</v>
      </c>
    </row>
    <row r="71" spans="1:9">
      <c r="A71" s="12"/>
      <c r="B71" s="12" t="s">
        <v>10</v>
      </c>
      <c r="C71" s="12"/>
      <c r="D71" s="12"/>
      <c r="E71" s="12"/>
      <c r="F71" s="12"/>
      <c r="G71" s="12"/>
      <c r="H71" s="12"/>
      <c r="I71" s="23">
        <f>AVERAGE(I55:I66)</f>
        <v>-0.42948291163217184</v>
      </c>
    </row>
    <row r="72" spans="1:9" ht="15" thickBot="1">
      <c r="A72" s="12"/>
      <c r="B72" s="12"/>
      <c r="C72" s="12"/>
      <c r="D72" s="12"/>
      <c r="E72" s="12"/>
      <c r="F72" s="12"/>
      <c r="G72" s="12"/>
      <c r="H72" s="12"/>
    </row>
    <row r="73" spans="1:9">
      <c r="A73" s="12"/>
      <c r="B73" s="12" t="s">
        <v>4</v>
      </c>
      <c r="C73" s="12"/>
      <c r="D73" s="12">
        <f>AVERAGE(D3,D7,D11,D15,D19)</f>
        <v>0.15200318287036979</v>
      </c>
      <c r="E73" s="12">
        <f>AVERAGE(E3,E7,E11,E15,E19)</f>
        <v>35.325170135497999</v>
      </c>
      <c r="F73" s="12"/>
      <c r="G73" s="12">
        <f>AVERAGE(G3,G7,G11,G15,G19)</f>
        <v>0.14130182620000001</v>
      </c>
      <c r="H73" s="12">
        <f>AVERAGE(H3,H7,H11,H15,H19)</f>
        <v>35.599546813999993</v>
      </c>
      <c r="I73" s="7">
        <f>bdrate($D73:$D76,E73:E76,$G73:$G76,H73:H76)</f>
        <v>-0.25042658750986313</v>
      </c>
    </row>
    <row r="74" spans="1:9">
      <c r="A74" s="12"/>
      <c r="B74" s="12"/>
      <c r="C74" s="12"/>
      <c r="D74" s="12">
        <f t="shared" ref="D74:E76" si="0">AVERAGE(D4,D8,D12,D16,D20)</f>
        <v>9.3765496399176834E-2</v>
      </c>
      <c r="E74" s="12">
        <f t="shared" si="0"/>
        <v>34.540579223632754</v>
      </c>
      <c r="F74" s="12"/>
      <c r="G74" s="12">
        <f t="shared" ref="G74:H76" si="1">AVERAGE(G4,G8,G12,G16,G20)</f>
        <v>8.8511316799999989E-2</v>
      </c>
      <c r="H74" s="12">
        <f t="shared" si="1"/>
        <v>34.960527802000001</v>
      </c>
    </row>
    <row r="75" spans="1:9">
      <c r="A75" s="12"/>
      <c r="B75" s="12"/>
      <c r="C75" s="12"/>
      <c r="D75" s="12">
        <f t="shared" si="0"/>
        <v>6.1649369855967043E-2</v>
      </c>
      <c r="E75" s="12">
        <f t="shared" si="0"/>
        <v>33.718069458007761</v>
      </c>
      <c r="F75" s="12"/>
      <c r="G75" s="12">
        <f t="shared" si="1"/>
        <v>5.9721675799999999E-2</v>
      </c>
      <c r="H75" s="12">
        <f t="shared" si="1"/>
        <v>34.253295134000005</v>
      </c>
    </row>
    <row r="76" spans="1:9" ht="15" thickBot="1">
      <c r="A76" s="12"/>
      <c r="B76" s="12"/>
      <c r="C76" s="12"/>
      <c r="D76" s="12">
        <f t="shared" si="0"/>
        <v>3.6967174639917659E-2</v>
      </c>
      <c r="E76" s="12">
        <f t="shared" si="0"/>
        <v>32.476005554199176</v>
      </c>
      <c r="F76" s="12"/>
      <c r="G76" s="12">
        <f t="shared" si="1"/>
        <v>3.6948848799999996E-2</v>
      </c>
      <c r="H76" s="12">
        <f t="shared" si="1"/>
        <v>33.116880799999997</v>
      </c>
    </row>
    <row r="77" spans="1:9">
      <c r="A77" s="12"/>
      <c r="B77" s="12" t="s">
        <v>6</v>
      </c>
      <c r="C77" s="12"/>
      <c r="D77" s="12">
        <f>AVERAGE(D23,D27,D31,D35)</f>
        <v>0.30043694911858926</v>
      </c>
      <c r="E77" s="12">
        <f>AVERAGE(E23,E27,E31,E35)</f>
        <v>33.600351333618121</v>
      </c>
      <c r="F77" s="12"/>
      <c r="G77" s="12">
        <f>AVERAGE(G23,G27,G31,G35)</f>
        <v>0.29467731699999999</v>
      </c>
      <c r="H77" s="12">
        <f>AVERAGE(H23,H27,H31,H35)</f>
        <v>34.209565162499999</v>
      </c>
      <c r="I77" s="7">
        <f>bdrate($D77:$D80,E77:E80,$G77:$G80,H77:H80)</f>
        <v>-0.26989671454639474</v>
      </c>
    </row>
    <row r="78" spans="1:9">
      <c r="A78" s="12"/>
      <c r="B78" s="12"/>
      <c r="C78" s="12"/>
      <c r="D78" s="12">
        <f t="shared" ref="D78:E80" si="2">AVERAGE(D24,D28,D32,D36)</f>
        <v>0.20401600894764899</v>
      </c>
      <c r="E78" s="12">
        <f t="shared" si="2"/>
        <v>32.648040771484354</v>
      </c>
      <c r="F78" s="12"/>
      <c r="G78" s="12">
        <f t="shared" ref="G78:H80" si="3">AVERAGE(G24,G28,G32,G36)</f>
        <v>0.19917033900000003</v>
      </c>
      <c r="H78" s="12">
        <f t="shared" si="3"/>
        <v>33.393167495</v>
      </c>
    </row>
    <row r="79" spans="1:9">
      <c r="D79" s="12">
        <f t="shared" si="2"/>
        <v>0.13733577891292692</v>
      </c>
      <c r="E79" s="12">
        <f t="shared" si="2"/>
        <v>31.573012828826872</v>
      </c>
      <c r="G79" s="12">
        <f t="shared" si="3"/>
        <v>0.13604767624999997</v>
      </c>
      <c r="H79" s="12">
        <f t="shared" si="3"/>
        <v>32.429008959999997</v>
      </c>
    </row>
    <row r="80" spans="1:9" ht="15" thickBot="1">
      <c r="D80" s="12">
        <f t="shared" si="2"/>
        <v>8.18307208199784E-2</v>
      </c>
      <c r="E80" s="12">
        <f t="shared" si="2"/>
        <v>29.982616424560497</v>
      </c>
      <c r="G80" s="12">
        <f t="shared" si="3"/>
        <v>8.3423477500000009E-2</v>
      </c>
      <c r="H80" s="12">
        <f t="shared" si="3"/>
        <v>30.949691295000001</v>
      </c>
    </row>
    <row r="81" spans="2:9">
      <c r="B81" t="s">
        <v>8</v>
      </c>
      <c r="D81" s="12">
        <f>AVERAGE(D39,D43,D47,D51)</f>
        <v>0.30223273904914472</v>
      </c>
      <c r="E81" s="12">
        <f>AVERAGE(E39,E43,E47,E51)</f>
        <v>33.981930732726994</v>
      </c>
      <c r="G81" s="12">
        <f>AVERAGE(G39,G43,G47,G51)</f>
        <v>0.27396751499999999</v>
      </c>
      <c r="H81" s="12">
        <f>AVERAGE(H39,H43,H47,H51)</f>
        <v>34.646962164999998</v>
      </c>
      <c r="I81" s="7">
        <f>bdrate($D81:$D84,E81:E84,$G81:$G84,H81:H84)</f>
        <v>-0.31929123953161043</v>
      </c>
    </row>
    <row r="82" spans="2:9">
      <c r="D82" s="12">
        <f t="shared" ref="D82:E84" si="4">AVERAGE(D40,D44,D48,D52)</f>
        <v>0.2051357171474355</v>
      </c>
      <c r="E82" s="12">
        <f t="shared" si="4"/>
        <v>32.800608158111523</v>
      </c>
      <c r="G82" s="12">
        <f t="shared" ref="G82:H84" si="5">AVERAGE(G40,G44,G48,G52)</f>
        <v>0.18644664775</v>
      </c>
      <c r="H82" s="12">
        <f t="shared" si="5"/>
        <v>33.665998457499995</v>
      </c>
    </row>
    <row r="83" spans="2:9">
      <c r="D83" s="12">
        <f t="shared" si="4"/>
        <v>0.13919688167735006</v>
      </c>
      <c r="E83" s="12">
        <f t="shared" si="4"/>
        <v>31.512354373931824</v>
      </c>
      <c r="G83" s="12">
        <f t="shared" si="5"/>
        <v>0.12918586400000001</v>
      </c>
      <c r="H83" s="12">
        <f t="shared" si="5"/>
        <v>32.568412780000003</v>
      </c>
    </row>
    <row r="84" spans="2:9" ht="15" thickBot="1">
      <c r="D84" s="12">
        <f t="shared" si="4"/>
        <v>8.2825854700854504E-2</v>
      </c>
      <c r="E84" s="12">
        <f t="shared" si="4"/>
        <v>29.661647796630824</v>
      </c>
      <c r="G84" s="12">
        <f t="shared" si="5"/>
        <v>8.0724158500000004E-2</v>
      </c>
      <c r="H84" s="12">
        <f t="shared" si="5"/>
        <v>30.920776365000002</v>
      </c>
    </row>
    <row r="85" spans="2:9">
      <c r="B85" t="s">
        <v>10</v>
      </c>
      <c r="D85" s="12">
        <f>AVERAGE(D55,D59,D63)</f>
        <v>3.3125964506172799E-2</v>
      </c>
      <c r="E85" s="12">
        <f>AVERAGE(E55,E59,E63)</f>
        <v>38.855997721354129</v>
      </c>
      <c r="G85" s="12">
        <f>AVERAGE(G55,G59,G63)</f>
        <v>2.931966133333333E-2</v>
      </c>
      <c r="H85" s="12">
        <f>AVERAGE(H55,H59,H63)</f>
        <v>39.742258706666668</v>
      </c>
      <c r="I85" s="7">
        <f>bdrate($D85:$D88,E85:E88,$G85:$G88,H85:H88)</f>
        <v>-0.42671421743945159</v>
      </c>
    </row>
    <row r="86" spans="2:9">
      <c r="D86" s="12">
        <f t="shared" ref="D86:E88" si="6">AVERAGE(D56,D60,D64)</f>
        <v>2.2436824845678965E-2</v>
      </c>
      <c r="E86" s="12">
        <f t="shared" si="6"/>
        <v>38.241784413655573</v>
      </c>
      <c r="G86" s="12">
        <f t="shared" ref="G86:H88" si="7">AVERAGE(G56,G60,G64)</f>
        <v>2.0591724333333335E-2</v>
      </c>
      <c r="H86" s="12">
        <f t="shared" si="7"/>
        <v>39.303728736666663</v>
      </c>
    </row>
    <row r="87" spans="2:9">
      <c r="D87" s="12">
        <f t="shared" si="6"/>
        <v>1.6360074266975232E-2</v>
      </c>
      <c r="E87" s="12">
        <f t="shared" si="6"/>
        <v>37.539377848307232</v>
      </c>
      <c r="G87" s="12">
        <f t="shared" si="7"/>
        <v>1.5333357666666667E-2</v>
      </c>
      <c r="H87" s="12">
        <f t="shared" si="7"/>
        <v>38.716430663333334</v>
      </c>
    </row>
    <row r="88" spans="2:9">
      <c r="D88" s="12">
        <f t="shared" si="6"/>
        <v>1.1481360918209832E-2</v>
      </c>
      <c r="E88" s="12">
        <f t="shared" si="6"/>
        <v>36.235242207845005</v>
      </c>
      <c r="G88" s="12">
        <f t="shared" si="7"/>
        <v>1.0988377666666667E-2</v>
      </c>
      <c r="H88" s="12">
        <f t="shared" si="7"/>
        <v>37.609067279999998</v>
      </c>
    </row>
  </sheetData>
  <mergeCells count="2">
    <mergeCell ref="D1:E1"/>
    <mergeCell ref="G1:H1"/>
  </mergeCells>
  <phoneticPr fontId="1" type="noConversion"/>
  <conditionalFormatting sqref="I67">
    <cfRule type="cellIs" dxfId="3659" priority="345" operator="greaterThan">
      <formula>0.03</formula>
    </cfRule>
    <cfRule type="cellIs" dxfId="3658" priority="346" stopIfTrue="1" operator="lessThan">
      <formula>-0.03</formula>
    </cfRule>
  </conditionalFormatting>
  <conditionalFormatting sqref="I67">
    <cfRule type="cellIs" dxfId="3657" priority="343" operator="greaterThan">
      <formula>0.03</formula>
    </cfRule>
    <cfRule type="cellIs" dxfId="3656" priority="344" stopIfTrue="1" operator="lessThan">
      <formula>-0.03</formula>
    </cfRule>
  </conditionalFormatting>
  <conditionalFormatting sqref="I67">
    <cfRule type="cellIs" dxfId="3655" priority="341" operator="greaterThan">
      <formula>0.03</formula>
    </cfRule>
    <cfRule type="cellIs" dxfId="3654" priority="342" stopIfTrue="1" operator="lessThan">
      <formula>-0.03</formula>
    </cfRule>
  </conditionalFormatting>
  <conditionalFormatting sqref="I67">
    <cfRule type="cellIs" dxfId="3653" priority="349" operator="greaterThan">
      <formula>0.03</formula>
    </cfRule>
    <cfRule type="cellIs" dxfId="3652" priority="350" stopIfTrue="1" operator="lessThan">
      <formula>-0.03</formula>
    </cfRule>
  </conditionalFormatting>
  <conditionalFormatting sqref="I67">
    <cfRule type="cellIs" dxfId="3651" priority="347" operator="greaterThan">
      <formula>0.03</formula>
    </cfRule>
    <cfRule type="cellIs" dxfId="3650" priority="348" stopIfTrue="1" operator="lessThan">
      <formula>-0.03</formula>
    </cfRule>
  </conditionalFormatting>
  <conditionalFormatting sqref="I12:I14 I16:I18">
    <cfRule type="cellIs" dxfId="3649" priority="329" operator="greaterThan">
      <formula>0.03</formula>
    </cfRule>
    <cfRule type="cellIs" dxfId="3648" priority="330" stopIfTrue="1" operator="lessThan">
      <formula>-0.03</formula>
    </cfRule>
  </conditionalFormatting>
  <conditionalFormatting sqref="I12:I14 I16:I18">
    <cfRule type="cellIs" dxfId="3647" priority="327" operator="greaterThan">
      <formula>0.03</formula>
    </cfRule>
    <cfRule type="cellIs" dxfId="3646" priority="328" stopIfTrue="1" operator="lessThan">
      <formula>-0.03</formula>
    </cfRule>
  </conditionalFormatting>
  <conditionalFormatting sqref="I28:I30">
    <cfRule type="cellIs" dxfId="3645" priority="299" operator="greaterThan">
      <formula>0.03</formula>
    </cfRule>
    <cfRule type="cellIs" dxfId="3644" priority="300" stopIfTrue="1" operator="lessThan">
      <formula>-0.03</formula>
    </cfRule>
  </conditionalFormatting>
  <conditionalFormatting sqref="I28:I30">
    <cfRule type="cellIs" dxfId="3643" priority="297" operator="greaterThan">
      <formula>0.03</formula>
    </cfRule>
    <cfRule type="cellIs" dxfId="3642" priority="298" stopIfTrue="1" operator="lessThan">
      <formula>-0.03</formula>
    </cfRule>
  </conditionalFormatting>
  <conditionalFormatting sqref="I28:I30">
    <cfRule type="cellIs" dxfId="3641" priority="295" operator="greaterThan">
      <formula>0.03</formula>
    </cfRule>
    <cfRule type="cellIs" dxfId="3640" priority="296" stopIfTrue="1" operator="lessThan">
      <formula>-0.03</formula>
    </cfRule>
  </conditionalFormatting>
  <conditionalFormatting sqref="I28:I30">
    <cfRule type="cellIs" dxfId="3639" priority="293" operator="greaterThan">
      <formula>0.03</formula>
    </cfRule>
    <cfRule type="cellIs" dxfId="3638" priority="294" stopIfTrue="1" operator="lessThan">
      <formula>-0.03</formula>
    </cfRule>
  </conditionalFormatting>
  <conditionalFormatting sqref="I28:I30">
    <cfRule type="cellIs" dxfId="3637" priority="291" operator="greaterThan">
      <formula>0.03</formula>
    </cfRule>
    <cfRule type="cellIs" dxfId="3636" priority="292" stopIfTrue="1" operator="lessThan">
      <formula>-0.03</formula>
    </cfRule>
  </conditionalFormatting>
  <conditionalFormatting sqref="I20:I22">
    <cfRule type="cellIs" dxfId="3635" priority="335" operator="greaterThan">
      <formula>0.03</formula>
    </cfRule>
    <cfRule type="cellIs" dxfId="3634" priority="336" stopIfTrue="1" operator="lessThan">
      <formula>-0.03</formula>
    </cfRule>
  </conditionalFormatting>
  <conditionalFormatting sqref="I19">
    <cfRule type="cellIs" dxfId="3633" priority="309" operator="greaterThan">
      <formula>0.03</formula>
    </cfRule>
    <cfRule type="cellIs" dxfId="3632" priority="310" stopIfTrue="1" operator="lessThan">
      <formula>-0.03</formula>
    </cfRule>
  </conditionalFormatting>
  <conditionalFormatting sqref="I19">
    <cfRule type="cellIs" dxfId="3631" priority="307" operator="greaterThan">
      <formula>0.03</formula>
    </cfRule>
    <cfRule type="cellIs" dxfId="3630" priority="308" stopIfTrue="1" operator="lessThan">
      <formula>-0.03</formula>
    </cfRule>
  </conditionalFormatting>
  <conditionalFormatting sqref="I19">
    <cfRule type="cellIs" dxfId="3629" priority="305" operator="greaterThan">
      <formula>0.03</formula>
    </cfRule>
    <cfRule type="cellIs" dxfId="3628" priority="306" stopIfTrue="1" operator="lessThan">
      <formula>-0.03</formula>
    </cfRule>
  </conditionalFormatting>
  <conditionalFormatting sqref="I19">
    <cfRule type="cellIs" dxfId="3627" priority="303" operator="greaterThan">
      <formula>0.03</formula>
    </cfRule>
    <cfRule type="cellIs" dxfId="3626" priority="304" stopIfTrue="1" operator="lessThan">
      <formula>-0.03</formula>
    </cfRule>
  </conditionalFormatting>
  <conditionalFormatting sqref="I19">
    <cfRule type="cellIs" dxfId="3625" priority="301" operator="greaterThan">
      <formula>0.03</formula>
    </cfRule>
    <cfRule type="cellIs" dxfId="3624" priority="302" stopIfTrue="1" operator="lessThan">
      <formula>-0.03</formula>
    </cfRule>
  </conditionalFormatting>
  <conditionalFormatting sqref="I20:I22">
    <cfRule type="cellIs" dxfId="3623" priority="339" operator="greaterThan">
      <formula>0.03</formula>
    </cfRule>
    <cfRule type="cellIs" dxfId="3622" priority="340" stopIfTrue="1" operator="lessThan">
      <formula>-0.03</formula>
    </cfRule>
  </conditionalFormatting>
  <conditionalFormatting sqref="I20:I22">
    <cfRule type="cellIs" dxfId="3621" priority="337" operator="greaterThan">
      <formula>0.03</formula>
    </cfRule>
    <cfRule type="cellIs" dxfId="3620" priority="338" stopIfTrue="1" operator="lessThan">
      <formula>-0.03</formula>
    </cfRule>
  </conditionalFormatting>
  <conditionalFormatting sqref="I12:I14 I16:I18">
    <cfRule type="cellIs" dxfId="3619" priority="325" operator="greaterThan">
      <formula>0.03</formula>
    </cfRule>
    <cfRule type="cellIs" dxfId="3618" priority="326" stopIfTrue="1" operator="lessThan">
      <formula>-0.03</formula>
    </cfRule>
  </conditionalFormatting>
  <conditionalFormatting sqref="I20:I22">
    <cfRule type="cellIs" dxfId="3617" priority="333" operator="greaterThan">
      <formula>0.03</formula>
    </cfRule>
    <cfRule type="cellIs" dxfId="3616" priority="334" stopIfTrue="1" operator="lessThan">
      <formula>-0.03</formula>
    </cfRule>
  </conditionalFormatting>
  <conditionalFormatting sqref="I20:I22">
    <cfRule type="cellIs" dxfId="3615" priority="331" operator="greaterThan">
      <formula>0.03</formula>
    </cfRule>
    <cfRule type="cellIs" dxfId="3614" priority="332" stopIfTrue="1" operator="lessThan">
      <formula>-0.03</formula>
    </cfRule>
  </conditionalFormatting>
  <conditionalFormatting sqref="I12:I14 I16:I18">
    <cfRule type="cellIs" dxfId="3613" priority="321" operator="greaterThan">
      <formula>0.03</formula>
    </cfRule>
    <cfRule type="cellIs" dxfId="3612" priority="322" stopIfTrue="1" operator="lessThan">
      <formula>-0.03</formula>
    </cfRule>
  </conditionalFormatting>
  <conditionalFormatting sqref="I12:I14 I16:I18">
    <cfRule type="cellIs" dxfId="3611" priority="323" operator="greaterThan">
      <formula>0.03</formula>
    </cfRule>
    <cfRule type="cellIs" dxfId="3610" priority="324" stopIfTrue="1" operator="lessThan">
      <formula>-0.03</formula>
    </cfRule>
  </conditionalFormatting>
  <conditionalFormatting sqref="I11">
    <cfRule type="cellIs" dxfId="3609" priority="319" operator="greaterThan">
      <formula>0.03</formula>
    </cfRule>
    <cfRule type="cellIs" dxfId="3608" priority="320" stopIfTrue="1" operator="lessThan">
      <formula>-0.03</formula>
    </cfRule>
  </conditionalFormatting>
  <conditionalFormatting sqref="I11">
    <cfRule type="cellIs" dxfId="3607" priority="317" operator="greaterThan">
      <formula>0.03</formula>
    </cfRule>
    <cfRule type="cellIs" dxfId="3606" priority="318" stopIfTrue="1" operator="lessThan">
      <formula>-0.03</formula>
    </cfRule>
  </conditionalFormatting>
  <conditionalFormatting sqref="I11">
    <cfRule type="cellIs" dxfId="3605" priority="315" operator="greaterThan">
      <formula>0.03</formula>
    </cfRule>
    <cfRule type="cellIs" dxfId="3604" priority="316" stopIfTrue="1" operator="lessThan">
      <formula>-0.03</formula>
    </cfRule>
  </conditionalFormatting>
  <conditionalFormatting sqref="I11">
    <cfRule type="cellIs" dxfId="3603" priority="313" operator="greaterThan">
      <formula>0.03</formula>
    </cfRule>
    <cfRule type="cellIs" dxfId="3602" priority="314" stopIfTrue="1" operator="lessThan">
      <formula>-0.03</formula>
    </cfRule>
  </conditionalFormatting>
  <conditionalFormatting sqref="I11">
    <cfRule type="cellIs" dxfId="3601" priority="311" operator="greaterThan">
      <formula>0.03</formula>
    </cfRule>
    <cfRule type="cellIs" dxfId="3600" priority="312" stopIfTrue="1" operator="lessThan">
      <formula>-0.03</formula>
    </cfRule>
  </conditionalFormatting>
  <conditionalFormatting sqref="I24:I26">
    <cfRule type="cellIs" dxfId="3599" priority="289" operator="greaterThan">
      <formula>0.03</formula>
    </cfRule>
    <cfRule type="cellIs" dxfId="3598" priority="290" stopIfTrue="1" operator="lessThan">
      <formula>-0.03</formula>
    </cfRule>
  </conditionalFormatting>
  <conditionalFormatting sqref="I24:I26">
    <cfRule type="cellIs" dxfId="3597" priority="287" operator="greaterThan">
      <formula>0.03</formula>
    </cfRule>
    <cfRule type="cellIs" dxfId="3596" priority="288" stopIfTrue="1" operator="lessThan">
      <formula>-0.03</formula>
    </cfRule>
  </conditionalFormatting>
  <conditionalFormatting sqref="I27">
    <cfRule type="cellIs" dxfId="3595" priority="269" operator="greaterThan">
      <formula>0.03</formula>
    </cfRule>
    <cfRule type="cellIs" dxfId="3594" priority="270" stopIfTrue="1" operator="lessThan">
      <formula>-0.03</formula>
    </cfRule>
  </conditionalFormatting>
  <conditionalFormatting sqref="I27">
    <cfRule type="cellIs" dxfId="3593" priority="267" operator="greaterThan">
      <formula>0.03</formula>
    </cfRule>
    <cfRule type="cellIs" dxfId="3592" priority="268" stopIfTrue="1" operator="lessThan">
      <formula>-0.03</formula>
    </cfRule>
  </conditionalFormatting>
  <conditionalFormatting sqref="I27">
    <cfRule type="cellIs" dxfId="3591" priority="265" operator="greaterThan">
      <formula>0.03</formula>
    </cfRule>
    <cfRule type="cellIs" dxfId="3590" priority="266" stopIfTrue="1" operator="lessThan">
      <formula>-0.03</formula>
    </cfRule>
  </conditionalFormatting>
  <conditionalFormatting sqref="I27">
    <cfRule type="cellIs" dxfId="3589" priority="263" operator="greaterThan">
      <formula>0.03</formula>
    </cfRule>
    <cfRule type="cellIs" dxfId="3588" priority="264" stopIfTrue="1" operator="lessThan">
      <formula>-0.03</formula>
    </cfRule>
  </conditionalFormatting>
  <conditionalFormatting sqref="I27">
    <cfRule type="cellIs" dxfId="3587" priority="261" operator="greaterThan">
      <formula>0.03</formula>
    </cfRule>
    <cfRule type="cellIs" dxfId="3586" priority="262" stopIfTrue="1" operator="lessThan">
      <formula>-0.03</formula>
    </cfRule>
  </conditionalFormatting>
  <conditionalFormatting sqref="I24:I26">
    <cfRule type="cellIs" dxfId="3585" priority="285" operator="greaterThan">
      <formula>0.03</formula>
    </cfRule>
    <cfRule type="cellIs" dxfId="3584" priority="286" stopIfTrue="1" operator="lessThan">
      <formula>-0.03</formula>
    </cfRule>
  </conditionalFormatting>
  <conditionalFormatting sqref="I24:I26">
    <cfRule type="cellIs" dxfId="3583" priority="281" operator="greaterThan">
      <formula>0.03</formula>
    </cfRule>
    <cfRule type="cellIs" dxfId="3582" priority="282" stopIfTrue="1" operator="lessThan">
      <formula>-0.03</formula>
    </cfRule>
  </conditionalFormatting>
  <conditionalFormatting sqref="I24:I26">
    <cfRule type="cellIs" dxfId="3581" priority="283" operator="greaterThan">
      <formula>0.03</formula>
    </cfRule>
    <cfRule type="cellIs" dxfId="3580" priority="284" stopIfTrue="1" operator="lessThan">
      <formula>-0.03</formula>
    </cfRule>
  </conditionalFormatting>
  <conditionalFormatting sqref="I23">
    <cfRule type="cellIs" dxfId="3579" priority="279" operator="greaterThan">
      <formula>0.03</formula>
    </cfRule>
    <cfRule type="cellIs" dxfId="3578" priority="280" stopIfTrue="1" operator="lessThan">
      <formula>-0.03</formula>
    </cfRule>
  </conditionalFormatting>
  <conditionalFormatting sqref="I23">
    <cfRule type="cellIs" dxfId="3577" priority="277" operator="greaterThan">
      <formula>0.03</formula>
    </cfRule>
    <cfRule type="cellIs" dxfId="3576" priority="278" stopIfTrue="1" operator="lessThan">
      <formula>-0.03</formula>
    </cfRule>
  </conditionalFormatting>
  <conditionalFormatting sqref="I23">
    <cfRule type="cellIs" dxfId="3575" priority="275" operator="greaterThan">
      <formula>0.03</formula>
    </cfRule>
    <cfRule type="cellIs" dxfId="3574" priority="276" stopIfTrue="1" operator="lessThan">
      <formula>-0.03</formula>
    </cfRule>
  </conditionalFormatting>
  <conditionalFormatting sqref="I23">
    <cfRule type="cellIs" dxfId="3573" priority="273" operator="greaterThan">
      <formula>0.03</formula>
    </cfRule>
    <cfRule type="cellIs" dxfId="3572" priority="274" stopIfTrue="1" operator="lessThan">
      <formula>-0.03</formula>
    </cfRule>
  </conditionalFormatting>
  <conditionalFormatting sqref="I23">
    <cfRule type="cellIs" dxfId="3571" priority="271" operator="greaterThan">
      <formula>0.03</formula>
    </cfRule>
    <cfRule type="cellIs" dxfId="3570" priority="272" stopIfTrue="1" operator="lessThan">
      <formula>-0.03</formula>
    </cfRule>
  </conditionalFormatting>
  <conditionalFormatting sqref="I44:I46">
    <cfRule type="cellIs" dxfId="3569" priority="259" operator="greaterThan">
      <formula>0.03</formula>
    </cfRule>
    <cfRule type="cellIs" dxfId="3568" priority="260" stopIfTrue="1" operator="lessThan">
      <formula>-0.03</formula>
    </cfRule>
  </conditionalFormatting>
  <conditionalFormatting sqref="I44:I46">
    <cfRule type="cellIs" dxfId="3567" priority="257" operator="greaterThan">
      <formula>0.03</formula>
    </cfRule>
    <cfRule type="cellIs" dxfId="3566" priority="258" stopIfTrue="1" operator="lessThan">
      <formula>-0.03</formula>
    </cfRule>
  </conditionalFormatting>
  <conditionalFormatting sqref="I44:I46">
    <cfRule type="cellIs" dxfId="3565" priority="255" operator="greaterThan">
      <formula>0.03</formula>
    </cfRule>
    <cfRule type="cellIs" dxfId="3564" priority="256" stopIfTrue="1" operator="lessThan">
      <formula>-0.03</formula>
    </cfRule>
  </conditionalFormatting>
  <conditionalFormatting sqref="I44:I46">
    <cfRule type="cellIs" dxfId="3563" priority="253" operator="greaterThan">
      <formula>0.03</formula>
    </cfRule>
    <cfRule type="cellIs" dxfId="3562" priority="254" stopIfTrue="1" operator="lessThan">
      <formula>-0.03</formula>
    </cfRule>
  </conditionalFormatting>
  <conditionalFormatting sqref="I44:I46">
    <cfRule type="cellIs" dxfId="3561" priority="251" operator="greaterThan">
      <formula>0.03</formula>
    </cfRule>
    <cfRule type="cellIs" dxfId="3560" priority="252" stopIfTrue="1" operator="lessThan">
      <formula>-0.03</formula>
    </cfRule>
  </conditionalFormatting>
  <conditionalFormatting sqref="I40:I42">
    <cfRule type="cellIs" dxfId="3559" priority="249" operator="greaterThan">
      <formula>0.03</formula>
    </cfRule>
    <cfRule type="cellIs" dxfId="3558" priority="250" stopIfTrue="1" operator="lessThan">
      <formula>-0.03</formula>
    </cfRule>
  </conditionalFormatting>
  <conditionalFormatting sqref="I40:I42">
    <cfRule type="cellIs" dxfId="3557" priority="247" operator="greaterThan">
      <formula>0.03</formula>
    </cfRule>
    <cfRule type="cellIs" dxfId="3556" priority="248" stopIfTrue="1" operator="lessThan">
      <formula>-0.03</formula>
    </cfRule>
  </conditionalFormatting>
  <conditionalFormatting sqref="I43">
    <cfRule type="cellIs" dxfId="3555" priority="229" operator="greaterThan">
      <formula>0.03</formula>
    </cfRule>
    <cfRule type="cellIs" dxfId="3554" priority="230" stopIfTrue="1" operator="lessThan">
      <formula>-0.03</formula>
    </cfRule>
  </conditionalFormatting>
  <conditionalFormatting sqref="I43">
    <cfRule type="cellIs" dxfId="3553" priority="227" operator="greaterThan">
      <formula>0.03</formula>
    </cfRule>
    <cfRule type="cellIs" dxfId="3552" priority="228" stopIfTrue="1" operator="lessThan">
      <formula>-0.03</formula>
    </cfRule>
  </conditionalFormatting>
  <conditionalFormatting sqref="I43">
    <cfRule type="cellIs" dxfId="3551" priority="225" operator="greaterThan">
      <formula>0.03</formula>
    </cfRule>
    <cfRule type="cellIs" dxfId="3550" priority="226" stopIfTrue="1" operator="lessThan">
      <formula>-0.03</formula>
    </cfRule>
  </conditionalFormatting>
  <conditionalFormatting sqref="I43">
    <cfRule type="cellIs" dxfId="3549" priority="223" operator="greaterThan">
      <formula>0.03</formula>
    </cfRule>
    <cfRule type="cellIs" dxfId="3548" priority="224" stopIfTrue="1" operator="lessThan">
      <formula>-0.03</formula>
    </cfRule>
  </conditionalFormatting>
  <conditionalFormatting sqref="I43">
    <cfRule type="cellIs" dxfId="3547" priority="221" operator="greaterThan">
      <formula>0.03</formula>
    </cfRule>
    <cfRule type="cellIs" dxfId="3546" priority="222" stopIfTrue="1" operator="lessThan">
      <formula>-0.03</formula>
    </cfRule>
  </conditionalFormatting>
  <conditionalFormatting sqref="I40:I42">
    <cfRule type="cellIs" dxfId="3545" priority="245" operator="greaterThan">
      <formula>0.03</formula>
    </cfRule>
    <cfRule type="cellIs" dxfId="3544" priority="246" stopIfTrue="1" operator="lessThan">
      <formula>-0.03</formula>
    </cfRule>
  </conditionalFormatting>
  <conditionalFormatting sqref="I40:I42">
    <cfRule type="cellIs" dxfId="3543" priority="241" operator="greaterThan">
      <formula>0.03</formula>
    </cfRule>
    <cfRule type="cellIs" dxfId="3542" priority="242" stopIfTrue="1" operator="lessThan">
      <formula>-0.03</formula>
    </cfRule>
  </conditionalFormatting>
  <conditionalFormatting sqref="I40:I42">
    <cfRule type="cellIs" dxfId="3541" priority="243" operator="greaterThan">
      <formula>0.03</formula>
    </cfRule>
    <cfRule type="cellIs" dxfId="3540" priority="244" stopIfTrue="1" operator="lessThan">
      <formula>-0.03</formula>
    </cfRule>
  </conditionalFormatting>
  <conditionalFormatting sqref="I39">
    <cfRule type="cellIs" dxfId="3539" priority="239" operator="greaterThan">
      <formula>0.03</formula>
    </cfRule>
    <cfRule type="cellIs" dxfId="3538" priority="240" stopIfTrue="1" operator="lessThan">
      <formula>-0.03</formula>
    </cfRule>
  </conditionalFormatting>
  <conditionalFormatting sqref="I39">
    <cfRule type="cellIs" dxfId="3537" priority="237" operator="greaterThan">
      <formula>0.03</formula>
    </cfRule>
    <cfRule type="cellIs" dxfId="3536" priority="238" stopIfTrue="1" operator="lessThan">
      <formula>-0.03</formula>
    </cfRule>
  </conditionalFormatting>
  <conditionalFormatting sqref="I39">
    <cfRule type="cellIs" dxfId="3535" priority="235" operator="greaterThan">
      <formula>0.03</formula>
    </cfRule>
    <cfRule type="cellIs" dxfId="3534" priority="236" stopIfTrue="1" operator="lessThan">
      <formula>-0.03</formula>
    </cfRule>
  </conditionalFormatting>
  <conditionalFormatting sqref="I39">
    <cfRule type="cellIs" dxfId="3533" priority="233" operator="greaterThan">
      <formula>0.03</formula>
    </cfRule>
    <cfRule type="cellIs" dxfId="3532" priority="234" stopIfTrue="1" operator="lessThan">
      <formula>-0.03</formula>
    </cfRule>
  </conditionalFormatting>
  <conditionalFormatting sqref="I39">
    <cfRule type="cellIs" dxfId="3531" priority="231" operator="greaterThan">
      <formula>0.03</formula>
    </cfRule>
    <cfRule type="cellIs" dxfId="3530" priority="232" stopIfTrue="1" operator="lessThan">
      <formula>-0.03</formula>
    </cfRule>
  </conditionalFormatting>
  <conditionalFormatting sqref="I64:I66">
    <cfRule type="cellIs" dxfId="3529" priority="219" operator="greaterThan">
      <formula>0.03</formula>
    </cfRule>
    <cfRule type="cellIs" dxfId="3528" priority="220" stopIfTrue="1" operator="lessThan">
      <formula>-0.03</formula>
    </cfRule>
  </conditionalFormatting>
  <conditionalFormatting sqref="I64:I66">
    <cfRule type="cellIs" dxfId="3527" priority="217" operator="greaterThan">
      <formula>0.03</formula>
    </cfRule>
    <cfRule type="cellIs" dxfId="3526" priority="218" stopIfTrue="1" operator="lessThan">
      <formula>-0.03</formula>
    </cfRule>
  </conditionalFormatting>
  <conditionalFormatting sqref="I64:I66">
    <cfRule type="cellIs" dxfId="3525" priority="215" operator="greaterThan">
      <formula>0.03</formula>
    </cfRule>
    <cfRule type="cellIs" dxfId="3524" priority="216" stopIfTrue="1" operator="lessThan">
      <formula>-0.03</formula>
    </cfRule>
  </conditionalFormatting>
  <conditionalFormatting sqref="I64:I66">
    <cfRule type="cellIs" dxfId="3523" priority="213" operator="greaterThan">
      <formula>0.03</formula>
    </cfRule>
    <cfRule type="cellIs" dxfId="3522" priority="214" stopIfTrue="1" operator="lessThan">
      <formula>-0.03</formula>
    </cfRule>
  </conditionalFormatting>
  <conditionalFormatting sqref="I64:I66">
    <cfRule type="cellIs" dxfId="3521" priority="211" operator="greaterThan">
      <formula>0.03</formula>
    </cfRule>
    <cfRule type="cellIs" dxfId="3520" priority="212" stopIfTrue="1" operator="lessThan">
      <formula>-0.03</formula>
    </cfRule>
  </conditionalFormatting>
  <conditionalFormatting sqref="I56:I58">
    <cfRule type="cellIs" dxfId="3519" priority="209" operator="greaterThan">
      <formula>0.03</formula>
    </cfRule>
    <cfRule type="cellIs" dxfId="3518" priority="210" stopIfTrue="1" operator="lessThan">
      <formula>-0.03</formula>
    </cfRule>
  </conditionalFormatting>
  <conditionalFormatting sqref="I56:I58">
    <cfRule type="cellIs" dxfId="3517" priority="207" operator="greaterThan">
      <formula>0.03</formula>
    </cfRule>
    <cfRule type="cellIs" dxfId="3516" priority="208" stopIfTrue="1" operator="lessThan">
      <formula>-0.03</formula>
    </cfRule>
  </conditionalFormatting>
  <conditionalFormatting sqref="I63">
    <cfRule type="cellIs" dxfId="3515" priority="189" operator="greaterThan">
      <formula>0.03</formula>
    </cfRule>
    <cfRule type="cellIs" dxfId="3514" priority="190" stopIfTrue="1" operator="lessThan">
      <formula>-0.03</formula>
    </cfRule>
  </conditionalFormatting>
  <conditionalFormatting sqref="I63">
    <cfRule type="cellIs" dxfId="3513" priority="187" operator="greaterThan">
      <formula>0.03</formula>
    </cfRule>
    <cfRule type="cellIs" dxfId="3512" priority="188" stopIfTrue="1" operator="lessThan">
      <formula>-0.03</formula>
    </cfRule>
  </conditionalFormatting>
  <conditionalFormatting sqref="I63">
    <cfRule type="cellIs" dxfId="3511" priority="185" operator="greaterThan">
      <formula>0.03</formula>
    </cfRule>
    <cfRule type="cellIs" dxfId="3510" priority="186" stopIfTrue="1" operator="lessThan">
      <formula>-0.03</formula>
    </cfRule>
  </conditionalFormatting>
  <conditionalFormatting sqref="I63">
    <cfRule type="cellIs" dxfId="3509" priority="183" operator="greaterThan">
      <formula>0.03</formula>
    </cfRule>
    <cfRule type="cellIs" dxfId="3508" priority="184" stopIfTrue="1" operator="lessThan">
      <formula>-0.03</formula>
    </cfRule>
  </conditionalFormatting>
  <conditionalFormatting sqref="I63">
    <cfRule type="cellIs" dxfId="3507" priority="181" operator="greaterThan">
      <formula>0.03</formula>
    </cfRule>
    <cfRule type="cellIs" dxfId="3506" priority="182" stopIfTrue="1" operator="lessThan">
      <formula>-0.03</formula>
    </cfRule>
  </conditionalFormatting>
  <conditionalFormatting sqref="I56:I58">
    <cfRule type="cellIs" dxfId="3505" priority="205" operator="greaterThan">
      <formula>0.03</formula>
    </cfRule>
    <cfRule type="cellIs" dxfId="3504" priority="206" stopIfTrue="1" operator="lessThan">
      <formula>-0.03</formula>
    </cfRule>
  </conditionalFormatting>
  <conditionalFormatting sqref="I56:I58">
    <cfRule type="cellIs" dxfId="3503" priority="201" operator="greaterThan">
      <formula>0.03</formula>
    </cfRule>
    <cfRule type="cellIs" dxfId="3502" priority="202" stopIfTrue="1" operator="lessThan">
      <formula>-0.03</formula>
    </cfRule>
  </conditionalFormatting>
  <conditionalFormatting sqref="I56:I58">
    <cfRule type="cellIs" dxfId="3501" priority="203" operator="greaterThan">
      <formula>0.03</formula>
    </cfRule>
    <cfRule type="cellIs" dxfId="3500" priority="204" stopIfTrue="1" operator="lessThan">
      <formula>-0.03</formula>
    </cfRule>
  </conditionalFormatting>
  <conditionalFormatting sqref="I55">
    <cfRule type="cellIs" dxfId="3499" priority="199" operator="greaterThan">
      <formula>0.03</formula>
    </cfRule>
    <cfRule type="cellIs" dxfId="3498" priority="200" stopIfTrue="1" operator="lessThan">
      <formula>-0.03</formula>
    </cfRule>
  </conditionalFormatting>
  <conditionalFormatting sqref="I55">
    <cfRule type="cellIs" dxfId="3497" priority="197" operator="greaterThan">
      <formula>0.03</formula>
    </cfRule>
    <cfRule type="cellIs" dxfId="3496" priority="198" stopIfTrue="1" operator="lessThan">
      <formula>-0.03</formula>
    </cfRule>
  </conditionalFormatting>
  <conditionalFormatting sqref="I55">
    <cfRule type="cellIs" dxfId="3495" priority="195" operator="greaterThan">
      <formula>0.03</formula>
    </cfRule>
    <cfRule type="cellIs" dxfId="3494" priority="196" stopIfTrue="1" operator="lessThan">
      <formula>-0.03</formula>
    </cfRule>
  </conditionalFormatting>
  <conditionalFormatting sqref="I55">
    <cfRule type="cellIs" dxfId="3493" priority="193" operator="greaterThan">
      <formula>0.03</formula>
    </cfRule>
    <cfRule type="cellIs" dxfId="3492" priority="194" stopIfTrue="1" operator="lessThan">
      <formula>-0.03</formula>
    </cfRule>
  </conditionalFormatting>
  <conditionalFormatting sqref="I55">
    <cfRule type="cellIs" dxfId="3491" priority="191" operator="greaterThan">
      <formula>0.03</formula>
    </cfRule>
    <cfRule type="cellIs" dxfId="3490" priority="192" stopIfTrue="1" operator="lessThan">
      <formula>-0.03</formula>
    </cfRule>
  </conditionalFormatting>
  <conditionalFormatting sqref="I36:I38">
    <cfRule type="cellIs" dxfId="3489" priority="179" operator="greaterThan">
      <formula>0.03</formula>
    </cfRule>
    <cfRule type="cellIs" dxfId="3488" priority="180" stopIfTrue="1" operator="lessThan">
      <formula>-0.03</formula>
    </cfRule>
  </conditionalFormatting>
  <conditionalFormatting sqref="I36:I38">
    <cfRule type="cellIs" dxfId="3487" priority="177" operator="greaterThan">
      <formula>0.03</formula>
    </cfRule>
    <cfRule type="cellIs" dxfId="3486" priority="178" stopIfTrue="1" operator="lessThan">
      <formula>-0.03</formula>
    </cfRule>
  </conditionalFormatting>
  <conditionalFormatting sqref="I36:I38">
    <cfRule type="cellIs" dxfId="3485" priority="175" operator="greaterThan">
      <formula>0.03</formula>
    </cfRule>
    <cfRule type="cellIs" dxfId="3484" priority="176" stopIfTrue="1" operator="lessThan">
      <formula>-0.03</formula>
    </cfRule>
  </conditionalFormatting>
  <conditionalFormatting sqref="I36:I38">
    <cfRule type="cellIs" dxfId="3483" priority="173" operator="greaterThan">
      <formula>0.03</formula>
    </cfRule>
    <cfRule type="cellIs" dxfId="3482" priority="174" stopIfTrue="1" operator="lessThan">
      <formula>-0.03</formula>
    </cfRule>
  </conditionalFormatting>
  <conditionalFormatting sqref="I36:I38">
    <cfRule type="cellIs" dxfId="3481" priority="171" operator="greaterThan">
      <formula>0.03</formula>
    </cfRule>
    <cfRule type="cellIs" dxfId="3480" priority="172" stopIfTrue="1" operator="lessThan">
      <formula>-0.03</formula>
    </cfRule>
  </conditionalFormatting>
  <conditionalFormatting sqref="I32:I34">
    <cfRule type="cellIs" dxfId="3479" priority="169" operator="greaterThan">
      <formula>0.03</formula>
    </cfRule>
    <cfRule type="cellIs" dxfId="3478" priority="170" stopIfTrue="1" operator="lessThan">
      <formula>-0.03</formula>
    </cfRule>
  </conditionalFormatting>
  <conditionalFormatting sqref="I32:I34">
    <cfRule type="cellIs" dxfId="3477" priority="167" operator="greaterThan">
      <formula>0.03</formula>
    </cfRule>
    <cfRule type="cellIs" dxfId="3476" priority="168" stopIfTrue="1" operator="lessThan">
      <formula>-0.03</formula>
    </cfRule>
  </conditionalFormatting>
  <conditionalFormatting sqref="I35">
    <cfRule type="cellIs" dxfId="3475" priority="149" operator="greaterThan">
      <formula>0.03</formula>
    </cfRule>
    <cfRule type="cellIs" dxfId="3474" priority="150" stopIfTrue="1" operator="lessThan">
      <formula>-0.03</formula>
    </cfRule>
  </conditionalFormatting>
  <conditionalFormatting sqref="I35">
    <cfRule type="cellIs" dxfId="3473" priority="147" operator="greaterThan">
      <formula>0.03</formula>
    </cfRule>
    <cfRule type="cellIs" dxfId="3472" priority="148" stopIfTrue="1" operator="lessThan">
      <formula>-0.03</formula>
    </cfRule>
  </conditionalFormatting>
  <conditionalFormatting sqref="I35">
    <cfRule type="cellIs" dxfId="3471" priority="145" operator="greaterThan">
      <formula>0.03</formula>
    </cfRule>
    <cfRule type="cellIs" dxfId="3470" priority="146" stopIfTrue="1" operator="lessThan">
      <formula>-0.03</formula>
    </cfRule>
  </conditionalFormatting>
  <conditionalFormatting sqref="I35">
    <cfRule type="cellIs" dxfId="3469" priority="143" operator="greaterThan">
      <formula>0.03</formula>
    </cfRule>
    <cfRule type="cellIs" dxfId="3468" priority="144" stopIfTrue="1" operator="lessThan">
      <formula>-0.03</formula>
    </cfRule>
  </conditionalFormatting>
  <conditionalFormatting sqref="I35">
    <cfRule type="cellIs" dxfId="3467" priority="141" operator="greaterThan">
      <formula>0.03</formula>
    </cfRule>
    <cfRule type="cellIs" dxfId="3466" priority="142" stopIfTrue="1" operator="lessThan">
      <formula>-0.03</formula>
    </cfRule>
  </conditionalFormatting>
  <conditionalFormatting sqref="I32:I34">
    <cfRule type="cellIs" dxfId="3465" priority="165" operator="greaterThan">
      <formula>0.03</formula>
    </cfRule>
    <cfRule type="cellIs" dxfId="3464" priority="166" stopIfTrue="1" operator="lessThan">
      <formula>-0.03</formula>
    </cfRule>
  </conditionalFormatting>
  <conditionalFormatting sqref="I32:I34">
    <cfRule type="cellIs" dxfId="3463" priority="161" operator="greaterThan">
      <formula>0.03</formula>
    </cfRule>
    <cfRule type="cellIs" dxfId="3462" priority="162" stopIfTrue="1" operator="lessThan">
      <formula>-0.03</formula>
    </cfRule>
  </conditionalFormatting>
  <conditionalFormatting sqref="I32:I34">
    <cfRule type="cellIs" dxfId="3461" priority="163" operator="greaterThan">
      <formula>0.03</formula>
    </cfRule>
    <cfRule type="cellIs" dxfId="3460" priority="164" stopIfTrue="1" operator="lessThan">
      <formula>-0.03</formula>
    </cfRule>
  </conditionalFormatting>
  <conditionalFormatting sqref="I31">
    <cfRule type="cellIs" dxfId="3459" priority="159" operator="greaterThan">
      <formula>0.03</formula>
    </cfRule>
    <cfRule type="cellIs" dxfId="3458" priority="160" stopIfTrue="1" operator="lessThan">
      <formula>-0.03</formula>
    </cfRule>
  </conditionalFormatting>
  <conditionalFormatting sqref="I31">
    <cfRule type="cellIs" dxfId="3457" priority="157" operator="greaterThan">
      <formula>0.03</formula>
    </cfRule>
    <cfRule type="cellIs" dxfId="3456" priority="158" stopIfTrue="1" operator="lessThan">
      <formula>-0.03</formula>
    </cfRule>
  </conditionalFormatting>
  <conditionalFormatting sqref="I31">
    <cfRule type="cellIs" dxfId="3455" priority="155" operator="greaterThan">
      <formula>0.03</formula>
    </cfRule>
    <cfRule type="cellIs" dxfId="3454" priority="156" stopIfTrue="1" operator="lessThan">
      <formula>-0.03</formula>
    </cfRule>
  </conditionalFormatting>
  <conditionalFormatting sqref="I31">
    <cfRule type="cellIs" dxfId="3453" priority="153" operator="greaterThan">
      <formula>0.03</formula>
    </cfRule>
    <cfRule type="cellIs" dxfId="3452" priority="154" stopIfTrue="1" operator="lessThan">
      <formula>-0.03</formula>
    </cfRule>
  </conditionalFormatting>
  <conditionalFormatting sqref="I31">
    <cfRule type="cellIs" dxfId="3451" priority="151" operator="greaterThan">
      <formula>0.03</formula>
    </cfRule>
    <cfRule type="cellIs" dxfId="3450" priority="152" stopIfTrue="1" operator="lessThan">
      <formula>-0.03</formula>
    </cfRule>
  </conditionalFormatting>
  <conditionalFormatting sqref="I52:I54">
    <cfRule type="cellIs" dxfId="3449" priority="139" operator="greaterThan">
      <formula>0.03</formula>
    </cfRule>
    <cfRule type="cellIs" dxfId="3448" priority="140" stopIfTrue="1" operator="lessThan">
      <formula>-0.03</formula>
    </cfRule>
  </conditionalFormatting>
  <conditionalFormatting sqref="I52:I54">
    <cfRule type="cellIs" dxfId="3447" priority="137" operator="greaterThan">
      <formula>0.03</formula>
    </cfRule>
    <cfRule type="cellIs" dxfId="3446" priority="138" stopIfTrue="1" operator="lessThan">
      <formula>-0.03</formula>
    </cfRule>
  </conditionalFormatting>
  <conditionalFormatting sqref="I52:I54">
    <cfRule type="cellIs" dxfId="3445" priority="135" operator="greaterThan">
      <formula>0.03</formula>
    </cfRule>
    <cfRule type="cellIs" dxfId="3444" priority="136" stopIfTrue="1" operator="lessThan">
      <formula>-0.03</formula>
    </cfRule>
  </conditionalFormatting>
  <conditionalFormatting sqref="I52:I54">
    <cfRule type="cellIs" dxfId="3443" priority="133" operator="greaterThan">
      <formula>0.03</formula>
    </cfRule>
    <cfRule type="cellIs" dxfId="3442" priority="134" stopIfTrue="1" operator="lessThan">
      <formula>-0.03</formula>
    </cfRule>
  </conditionalFormatting>
  <conditionalFormatting sqref="I52:I54">
    <cfRule type="cellIs" dxfId="3441" priority="131" operator="greaterThan">
      <formula>0.03</formula>
    </cfRule>
    <cfRule type="cellIs" dxfId="3440" priority="132" stopIfTrue="1" operator="lessThan">
      <formula>-0.03</formula>
    </cfRule>
  </conditionalFormatting>
  <conditionalFormatting sqref="I48:I50">
    <cfRule type="cellIs" dxfId="3439" priority="129" operator="greaterThan">
      <formula>0.03</formula>
    </cfRule>
    <cfRule type="cellIs" dxfId="3438" priority="130" stopIfTrue="1" operator="lessThan">
      <formula>-0.03</formula>
    </cfRule>
  </conditionalFormatting>
  <conditionalFormatting sqref="I48:I50">
    <cfRule type="cellIs" dxfId="3437" priority="127" operator="greaterThan">
      <formula>0.03</formula>
    </cfRule>
    <cfRule type="cellIs" dxfId="3436" priority="128" stopIfTrue="1" operator="lessThan">
      <formula>-0.03</formula>
    </cfRule>
  </conditionalFormatting>
  <conditionalFormatting sqref="I51">
    <cfRule type="cellIs" dxfId="3435" priority="109" operator="greaterThan">
      <formula>0.03</formula>
    </cfRule>
    <cfRule type="cellIs" dxfId="3434" priority="110" stopIfTrue="1" operator="lessThan">
      <formula>-0.03</formula>
    </cfRule>
  </conditionalFormatting>
  <conditionalFormatting sqref="I51">
    <cfRule type="cellIs" dxfId="3433" priority="107" operator="greaterThan">
      <formula>0.03</formula>
    </cfRule>
    <cfRule type="cellIs" dxfId="3432" priority="108" stopIfTrue="1" operator="lessThan">
      <formula>-0.03</formula>
    </cfRule>
  </conditionalFormatting>
  <conditionalFormatting sqref="I51">
    <cfRule type="cellIs" dxfId="3431" priority="105" operator="greaterThan">
      <formula>0.03</formula>
    </cfRule>
    <cfRule type="cellIs" dxfId="3430" priority="106" stopIfTrue="1" operator="lessThan">
      <formula>-0.03</formula>
    </cfRule>
  </conditionalFormatting>
  <conditionalFormatting sqref="I51">
    <cfRule type="cellIs" dxfId="3429" priority="103" operator="greaterThan">
      <formula>0.03</formula>
    </cfRule>
    <cfRule type="cellIs" dxfId="3428" priority="104" stopIfTrue="1" operator="lessThan">
      <formula>-0.03</formula>
    </cfRule>
  </conditionalFormatting>
  <conditionalFormatting sqref="I51">
    <cfRule type="cellIs" dxfId="3427" priority="101" operator="greaterThan">
      <formula>0.03</formula>
    </cfRule>
    <cfRule type="cellIs" dxfId="3426" priority="102" stopIfTrue="1" operator="lessThan">
      <formula>-0.03</formula>
    </cfRule>
  </conditionalFormatting>
  <conditionalFormatting sqref="I48:I50">
    <cfRule type="cellIs" dxfId="3425" priority="125" operator="greaterThan">
      <formula>0.03</formula>
    </cfRule>
    <cfRule type="cellIs" dxfId="3424" priority="126" stopIfTrue="1" operator="lessThan">
      <formula>-0.03</formula>
    </cfRule>
  </conditionalFormatting>
  <conditionalFormatting sqref="I48:I50">
    <cfRule type="cellIs" dxfId="3423" priority="121" operator="greaterThan">
      <formula>0.03</formula>
    </cfRule>
    <cfRule type="cellIs" dxfId="3422" priority="122" stopIfTrue="1" operator="lessThan">
      <formula>-0.03</formula>
    </cfRule>
  </conditionalFormatting>
  <conditionalFormatting sqref="I48:I50">
    <cfRule type="cellIs" dxfId="3421" priority="123" operator="greaterThan">
      <formula>0.03</formula>
    </cfRule>
    <cfRule type="cellIs" dxfId="3420" priority="124" stopIfTrue="1" operator="lessThan">
      <formula>-0.03</formula>
    </cfRule>
  </conditionalFormatting>
  <conditionalFormatting sqref="I47">
    <cfRule type="cellIs" dxfId="3419" priority="119" operator="greaterThan">
      <formula>0.03</formula>
    </cfRule>
    <cfRule type="cellIs" dxfId="3418" priority="120" stopIfTrue="1" operator="lessThan">
      <formula>-0.03</formula>
    </cfRule>
  </conditionalFormatting>
  <conditionalFormatting sqref="I47">
    <cfRule type="cellIs" dxfId="3417" priority="117" operator="greaterThan">
      <formula>0.03</formula>
    </cfRule>
    <cfRule type="cellIs" dxfId="3416" priority="118" stopIfTrue="1" operator="lessThan">
      <formula>-0.03</formula>
    </cfRule>
  </conditionalFormatting>
  <conditionalFormatting sqref="I47">
    <cfRule type="cellIs" dxfId="3415" priority="115" operator="greaterThan">
      <formula>0.03</formula>
    </cfRule>
    <cfRule type="cellIs" dxfId="3414" priority="116" stopIfTrue="1" operator="lessThan">
      <formula>-0.03</formula>
    </cfRule>
  </conditionalFormatting>
  <conditionalFormatting sqref="I47">
    <cfRule type="cellIs" dxfId="3413" priority="113" operator="greaterThan">
      <formula>0.03</formula>
    </cfRule>
    <cfRule type="cellIs" dxfId="3412" priority="114" stopIfTrue="1" operator="lessThan">
      <formula>-0.03</formula>
    </cfRule>
  </conditionalFormatting>
  <conditionalFormatting sqref="I47">
    <cfRule type="cellIs" dxfId="3411" priority="111" operator="greaterThan">
      <formula>0.03</formula>
    </cfRule>
    <cfRule type="cellIs" dxfId="3410" priority="112" stopIfTrue="1" operator="lessThan">
      <formula>-0.03</formula>
    </cfRule>
  </conditionalFormatting>
  <conditionalFormatting sqref="I60:I62">
    <cfRule type="cellIs" dxfId="3409" priority="99" operator="greaterThan">
      <formula>0.03</formula>
    </cfRule>
    <cfRule type="cellIs" dxfId="3408" priority="100" stopIfTrue="1" operator="lessThan">
      <formula>-0.03</formula>
    </cfRule>
  </conditionalFormatting>
  <conditionalFormatting sqref="I60:I62">
    <cfRule type="cellIs" dxfId="3407" priority="97" operator="greaterThan">
      <formula>0.03</formula>
    </cfRule>
    <cfRule type="cellIs" dxfId="3406" priority="98" stopIfTrue="1" operator="lessThan">
      <formula>-0.03</formula>
    </cfRule>
  </conditionalFormatting>
  <conditionalFormatting sqref="I60:I62">
    <cfRule type="cellIs" dxfId="3405" priority="95" operator="greaterThan">
      <formula>0.03</formula>
    </cfRule>
    <cfRule type="cellIs" dxfId="3404" priority="96" stopIfTrue="1" operator="lessThan">
      <formula>-0.03</formula>
    </cfRule>
  </conditionalFormatting>
  <conditionalFormatting sqref="I60:I62">
    <cfRule type="cellIs" dxfId="3403" priority="93" operator="greaterThan">
      <formula>0.03</formula>
    </cfRule>
    <cfRule type="cellIs" dxfId="3402" priority="94" stopIfTrue="1" operator="lessThan">
      <formula>-0.03</formula>
    </cfRule>
  </conditionalFormatting>
  <conditionalFormatting sqref="I60:I62">
    <cfRule type="cellIs" dxfId="3401" priority="91" operator="greaterThan">
      <formula>0.03</formula>
    </cfRule>
    <cfRule type="cellIs" dxfId="3400" priority="92" stopIfTrue="1" operator="lessThan">
      <formula>-0.03</formula>
    </cfRule>
  </conditionalFormatting>
  <conditionalFormatting sqref="I59">
    <cfRule type="cellIs" dxfId="3399" priority="89" operator="greaterThan">
      <formula>0.03</formula>
    </cfRule>
    <cfRule type="cellIs" dxfId="3398" priority="90" stopIfTrue="1" operator="lessThan">
      <formula>-0.03</formula>
    </cfRule>
  </conditionalFormatting>
  <conditionalFormatting sqref="I59">
    <cfRule type="cellIs" dxfId="3397" priority="87" operator="greaterThan">
      <formula>0.03</formula>
    </cfRule>
    <cfRule type="cellIs" dxfId="3396" priority="88" stopIfTrue="1" operator="lessThan">
      <formula>-0.03</formula>
    </cfRule>
  </conditionalFormatting>
  <conditionalFormatting sqref="I59">
    <cfRule type="cellIs" dxfId="3395" priority="85" operator="greaterThan">
      <formula>0.03</formula>
    </cfRule>
    <cfRule type="cellIs" dxfId="3394" priority="86" stopIfTrue="1" operator="lessThan">
      <formula>-0.03</formula>
    </cfRule>
  </conditionalFormatting>
  <conditionalFormatting sqref="I59">
    <cfRule type="cellIs" dxfId="3393" priority="83" operator="greaterThan">
      <formula>0.03</formula>
    </cfRule>
    <cfRule type="cellIs" dxfId="3392" priority="84" stopIfTrue="1" operator="lessThan">
      <formula>-0.03</formula>
    </cfRule>
  </conditionalFormatting>
  <conditionalFormatting sqref="I59">
    <cfRule type="cellIs" dxfId="3391" priority="81" operator="greaterThan">
      <formula>0.03</formula>
    </cfRule>
    <cfRule type="cellIs" dxfId="3390" priority="82" stopIfTrue="1" operator="lessThan">
      <formula>-0.03</formula>
    </cfRule>
  </conditionalFormatting>
  <conditionalFormatting sqref="I4:I6 I8:I10">
    <cfRule type="cellIs" dxfId="3389" priority="79" operator="greaterThan">
      <formula>0.03</formula>
    </cfRule>
    <cfRule type="cellIs" dxfId="3388" priority="80" stopIfTrue="1" operator="lessThan">
      <formula>-0.03</formula>
    </cfRule>
  </conditionalFormatting>
  <conditionalFormatting sqref="I4:I6 I8:I10">
    <cfRule type="cellIs" dxfId="3387" priority="77" operator="greaterThan">
      <formula>0.03</formula>
    </cfRule>
    <cfRule type="cellIs" dxfId="3386" priority="78" stopIfTrue="1" operator="lessThan">
      <formula>-0.03</formula>
    </cfRule>
  </conditionalFormatting>
  <conditionalFormatting sqref="I4:I6 I8:I10">
    <cfRule type="cellIs" dxfId="3385" priority="75" operator="greaterThan">
      <formula>0.03</formula>
    </cfRule>
    <cfRule type="cellIs" dxfId="3384" priority="76" stopIfTrue="1" operator="lessThan">
      <formula>-0.03</formula>
    </cfRule>
  </conditionalFormatting>
  <conditionalFormatting sqref="I4:I6 I8:I10">
    <cfRule type="cellIs" dxfId="3383" priority="71" operator="greaterThan">
      <formula>0.03</formula>
    </cfRule>
    <cfRule type="cellIs" dxfId="3382" priority="72" stopIfTrue="1" operator="lessThan">
      <formula>-0.03</formula>
    </cfRule>
  </conditionalFormatting>
  <conditionalFormatting sqref="I4:I6 I8:I10">
    <cfRule type="cellIs" dxfId="3381" priority="73" operator="greaterThan">
      <formula>0.03</formula>
    </cfRule>
    <cfRule type="cellIs" dxfId="3380" priority="74" stopIfTrue="1" operator="lessThan">
      <formula>-0.03</formula>
    </cfRule>
  </conditionalFormatting>
  <conditionalFormatting sqref="I3">
    <cfRule type="cellIs" dxfId="3379" priority="69" operator="greaterThan">
      <formula>0.03</formula>
    </cfRule>
    <cfRule type="cellIs" dxfId="3378" priority="70" stopIfTrue="1" operator="lessThan">
      <formula>-0.03</formula>
    </cfRule>
  </conditionalFormatting>
  <conditionalFormatting sqref="I3">
    <cfRule type="cellIs" dxfId="3377" priority="67" operator="greaterThan">
      <formula>0.03</formula>
    </cfRule>
    <cfRule type="cellIs" dxfId="3376" priority="68" stopIfTrue="1" operator="lessThan">
      <formula>-0.03</formula>
    </cfRule>
  </conditionalFormatting>
  <conditionalFormatting sqref="I3">
    <cfRule type="cellIs" dxfId="3375" priority="65" operator="greaterThan">
      <formula>0.03</formula>
    </cfRule>
    <cfRule type="cellIs" dxfId="3374" priority="66" stopIfTrue="1" operator="lessThan">
      <formula>-0.03</formula>
    </cfRule>
  </conditionalFormatting>
  <conditionalFormatting sqref="I3">
    <cfRule type="cellIs" dxfId="3373" priority="63" operator="greaterThan">
      <formula>0.03</formula>
    </cfRule>
    <cfRule type="cellIs" dxfId="3372" priority="64" stopIfTrue="1" operator="lessThan">
      <formula>-0.03</formula>
    </cfRule>
  </conditionalFormatting>
  <conditionalFormatting sqref="I3">
    <cfRule type="cellIs" dxfId="3371" priority="61" operator="greaterThan">
      <formula>0.03</formula>
    </cfRule>
    <cfRule type="cellIs" dxfId="3370" priority="62" stopIfTrue="1" operator="lessThan">
      <formula>-0.03</formula>
    </cfRule>
  </conditionalFormatting>
  <conditionalFormatting sqref="I7">
    <cfRule type="cellIs" dxfId="3369" priority="59" operator="greaterThan">
      <formula>0.03</formula>
    </cfRule>
    <cfRule type="cellIs" dxfId="3368" priority="60" stopIfTrue="1" operator="lessThan">
      <formula>-0.03</formula>
    </cfRule>
  </conditionalFormatting>
  <conditionalFormatting sqref="I7">
    <cfRule type="cellIs" dxfId="3367" priority="57" operator="greaterThan">
      <formula>0.03</formula>
    </cfRule>
    <cfRule type="cellIs" dxfId="3366" priority="58" stopIfTrue="1" operator="lessThan">
      <formula>-0.03</formula>
    </cfRule>
  </conditionalFormatting>
  <conditionalFormatting sqref="I7">
    <cfRule type="cellIs" dxfId="3365" priority="55" operator="greaterThan">
      <formula>0.03</formula>
    </cfRule>
    <cfRule type="cellIs" dxfId="3364" priority="56" stopIfTrue="1" operator="lessThan">
      <formula>-0.03</formula>
    </cfRule>
  </conditionalFormatting>
  <conditionalFormatting sqref="I7">
    <cfRule type="cellIs" dxfId="3363" priority="53" operator="greaterThan">
      <formula>0.03</formula>
    </cfRule>
    <cfRule type="cellIs" dxfId="3362" priority="54" stopIfTrue="1" operator="lessThan">
      <formula>-0.03</formula>
    </cfRule>
  </conditionalFormatting>
  <conditionalFormatting sqref="I7">
    <cfRule type="cellIs" dxfId="3361" priority="51" operator="greaterThan">
      <formula>0.03</formula>
    </cfRule>
    <cfRule type="cellIs" dxfId="3360" priority="52" stopIfTrue="1" operator="lessThan">
      <formula>-0.03</formula>
    </cfRule>
  </conditionalFormatting>
  <conditionalFormatting sqref="I15">
    <cfRule type="cellIs" dxfId="3359" priority="49" operator="greaterThan">
      <formula>0.03</formula>
    </cfRule>
    <cfRule type="cellIs" dxfId="3358" priority="50" stopIfTrue="1" operator="lessThan">
      <formula>-0.03</formula>
    </cfRule>
  </conditionalFormatting>
  <conditionalFormatting sqref="I15">
    <cfRule type="cellIs" dxfId="3357" priority="47" operator="greaterThan">
      <formula>0.03</formula>
    </cfRule>
    <cfRule type="cellIs" dxfId="3356" priority="48" stopIfTrue="1" operator="lessThan">
      <formula>-0.03</formula>
    </cfRule>
  </conditionalFormatting>
  <conditionalFormatting sqref="I15">
    <cfRule type="cellIs" dxfId="3355" priority="45" operator="greaterThan">
      <formula>0.03</formula>
    </cfRule>
    <cfRule type="cellIs" dxfId="3354" priority="46" stopIfTrue="1" operator="lessThan">
      <formula>-0.03</formula>
    </cfRule>
  </conditionalFormatting>
  <conditionalFormatting sqref="I15">
    <cfRule type="cellIs" dxfId="3353" priority="43" operator="greaterThan">
      <formula>0.03</formula>
    </cfRule>
    <cfRule type="cellIs" dxfId="3352" priority="44" stopIfTrue="1" operator="lessThan">
      <formula>-0.03</formula>
    </cfRule>
  </conditionalFormatting>
  <conditionalFormatting sqref="I15">
    <cfRule type="cellIs" dxfId="3351" priority="41" operator="greaterThan">
      <formula>0.03</formula>
    </cfRule>
    <cfRule type="cellIs" dxfId="3350" priority="42" stopIfTrue="1" operator="lessThan">
      <formula>-0.03</formula>
    </cfRule>
  </conditionalFormatting>
  <conditionalFormatting sqref="I73">
    <cfRule type="cellIs" dxfId="3349" priority="39" operator="greaterThan">
      <formula>0.03</formula>
    </cfRule>
    <cfRule type="cellIs" dxfId="3348" priority="40" stopIfTrue="1" operator="lessThan">
      <formula>-0.03</formula>
    </cfRule>
  </conditionalFormatting>
  <conditionalFormatting sqref="I73">
    <cfRule type="cellIs" dxfId="3347" priority="37" operator="greaterThan">
      <formula>0.03</formula>
    </cfRule>
    <cfRule type="cellIs" dxfId="3346" priority="38" stopIfTrue="1" operator="lessThan">
      <formula>-0.03</formula>
    </cfRule>
  </conditionalFormatting>
  <conditionalFormatting sqref="I73">
    <cfRule type="cellIs" dxfId="3345" priority="35" operator="greaterThan">
      <formula>0.03</formula>
    </cfRule>
    <cfRule type="cellIs" dxfId="3344" priority="36" stopIfTrue="1" operator="lessThan">
      <formula>-0.03</formula>
    </cfRule>
  </conditionalFormatting>
  <conditionalFormatting sqref="I73">
    <cfRule type="cellIs" dxfId="3343" priority="33" operator="greaterThan">
      <formula>0.03</formula>
    </cfRule>
    <cfRule type="cellIs" dxfId="3342" priority="34" stopIfTrue="1" operator="lessThan">
      <formula>-0.03</formula>
    </cfRule>
  </conditionalFormatting>
  <conditionalFormatting sqref="I73">
    <cfRule type="cellIs" dxfId="3341" priority="31" operator="greaterThan">
      <formula>0.03</formula>
    </cfRule>
    <cfRule type="cellIs" dxfId="3340" priority="32" stopIfTrue="1" operator="lessThan">
      <formula>-0.03</formula>
    </cfRule>
  </conditionalFormatting>
  <conditionalFormatting sqref="I77">
    <cfRule type="cellIs" dxfId="3339" priority="29" operator="greaterThan">
      <formula>0.03</formula>
    </cfRule>
    <cfRule type="cellIs" dxfId="3338" priority="30" stopIfTrue="1" operator="lessThan">
      <formula>-0.03</formula>
    </cfRule>
  </conditionalFormatting>
  <conditionalFormatting sqref="I77">
    <cfRule type="cellIs" dxfId="3337" priority="27" operator="greaterThan">
      <formula>0.03</formula>
    </cfRule>
    <cfRule type="cellIs" dxfId="3336" priority="28" stopIfTrue="1" operator="lessThan">
      <formula>-0.03</formula>
    </cfRule>
  </conditionalFormatting>
  <conditionalFormatting sqref="I77">
    <cfRule type="cellIs" dxfId="3335" priority="25" operator="greaterThan">
      <formula>0.03</formula>
    </cfRule>
    <cfRule type="cellIs" dxfId="3334" priority="26" stopIfTrue="1" operator="lessThan">
      <formula>-0.03</formula>
    </cfRule>
  </conditionalFormatting>
  <conditionalFormatting sqref="I77">
    <cfRule type="cellIs" dxfId="3333" priority="23" operator="greaterThan">
      <formula>0.03</formula>
    </cfRule>
    <cfRule type="cellIs" dxfId="3332" priority="24" stopIfTrue="1" operator="lessThan">
      <formula>-0.03</formula>
    </cfRule>
  </conditionalFormatting>
  <conditionalFormatting sqref="I77">
    <cfRule type="cellIs" dxfId="3331" priority="21" operator="greaterThan">
      <formula>0.03</formula>
    </cfRule>
    <cfRule type="cellIs" dxfId="3330" priority="22" stopIfTrue="1" operator="lessThan">
      <formula>-0.03</formula>
    </cfRule>
  </conditionalFormatting>
  <conditionalFormatting sqref="I81">
    <cfRule type="cellIs" dxfId="3329" priority="19" operator="greaterThan">
      <formula>0.03</formula>
    </cfRule>
    <cfRule type="cellIs" dxfId="3328" priority="20" stopIfTrue="1" operator="lessThan">
      <formula>-0.03</formula>
    </cfRule>
  </conditionalFormatting>
  <conditionalFormatting sqref="I81">
    <cfRule type="cellIs" dxfId="3327" priority="17" operator="greaterThan">
      <formula>0.03</formula>
    </cfRule>
    <cfRule type="cellIs" dxfId="3326" priority="18" stopIfTrue="1" operator="lessThan">
      <formula>-0.03</formula>
    </cfRule>
  </conditionalFormatting>
  <conditionalFormatting sqref="I81">
    <cfRule type="cellIs" dxfId="3325" priority="15" operator="greaterThan">
      <formula>0.03</formula>
    </cfRule>
    <cfRule type="cellIs" dxfId="3324" priority="16" stopIfTrue="1" operator="lessThan">
      <formula>-0.03</formula>
    </cfRule>
  </conditionalFormatting>
  <conditionalFormatting sqref="I81">
    <cfRule type="cellIs" dxfId="3323" priority="13" operator="greaterThan">
      <formula>0.03</formula>
    </cfRule>
    <cfRule type="cellIs" dxfId="3322" priority="14" stopIfTrue="1" operator="lessThan">
      <formula>-0.03</formula>
    </cfRule>
  </conditionalFormatting>
  <conditionalFormatting sqref="I81">
    <cfRule type="cellIs" dxfId="3321" priority="11" operator="greaterThan">
      <formula>0.03</formula>
    </cfRule>
    <cfRule type="cellIs" dxfId="3320" priority="12" stopIfTrue="1" operator="lessThan">
      <formula>-0.03</formula>
    </cfRule>
  </conditionalFormatting>
  <conditionalFormatting sqref="I85">
    <cfRule type="cellIs" dxfId="3319" priority="9" operator="greaterThan">
      <formula>0.03</formula>
    </cfRule>
    <cfRule type="cellIs" dxfId="3318" priority="10" stopIfTrue="1" operator="lessThan">
      <formula>-0.03</formula>
    </cfRule>
  </conditionalFormatting>
  <conditionalFormatting sqref="I85">
    <cfRule type="cellIs" dxfId="3317" priority="7" operator="greaterThan">
      <formula>0.03</formula>
    </cfRule>
    <cfRule type="cellIs" dxfId="3316" priority="8" stopIfTrue="1" operator="lessThan">
      <formula>-0.03</formula>
    </cfRule>
  </conditionalFormatting>
  <conditionalFormatting sqref="I85">
    <cfRule type="cellIs" dxfId="3315" priority="5" operator="greaterThan">
      <formula>0.03</formula>
    </cfRule>
    <cfRule type="cellIs" dxfId="3314" priority="6" stopIfTrue="1" operator="lessThan">
      <formula>-0.03</formula>
    </cfRule>
  </conditionalFormatting>
  <conditionalFormatting sqref="I85">
    <cfRule type="cellIs" dxfId="3313" priority="3" operator="greaterThan">
      <formula>0.03</formula>
    </cfRule>
    <cfRule type="cellIs" dxfId="3312" priority="4" stopIfTrue="1" operator="lessThan">
      <formula>-0.03</formula>
    </cfRule>
  </conditionalFormatting>
  <conditionalFormatting sqref="I85">
    <cfRule type="cellIs" dxfId="3311" priority="1" operator="greaterThan">
      <formula>0.03</formula>
    </cfRule>
    <cfRule type="cellIs" dxfId="3310" priority="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C2A70-D6E0-44AA-A1DD-1E6FEF632C20}">
  <dimension ref="A1:I88"/>
  <sheetViews>
    <sheetView zoomScaleNormal="100" workbookViewId="0">
      <selection activeCell="K77" sqref="K77"/>
    </sheetView>
  </sheetViews>
  <sheetFormatPr defaultColWidth="8.875" defaultRowHeight="14.25"/>
  <cols>
    <col min="2" max="2" width="25.375" bestFit="1" customWidth="1"/>
    <col min="3" max="3" width="5.875" bestFit="1" customWidth="1"/>
    <col min="6" max="6" width="3.625" bestFit="1" customWidth="1"/>
  </cols>
  <sheetData>
    <row r="1" spans="1:9" ht="15" thickBot="1">
      <c r="A1" s="1"/>
      <c r="B1" s="1"/>
      <c r="C1" s="1"/>
      <c r="D1" s="28" t="s">
        <v>25</v>
      </c>
      <c r="E1" s="29"/>
      <c r="F1" s="1"/>
      <c r="G1" s="28" t="s">
        <v>26</v>
      </c>
      <c r="H1" s="29"/>
      <c r="I1" s="25"/>
    </row>
    <row r="2" spans="1:9" ht="15" thickBot="1">
      <c r="A2" s="2"/>
      <c r="B2" s="3"/>
      <c r="C2" s="22" t="s">
        <v>24</v>
      </c>
      <c r="D2" s="13" t="s">
        <v>0</v>
      </c>
      <c r="E2" s="5" t="s">
        <v>1</v>
      </c>
      <c r="F2" s="22" t="s">
        <v>24</v>
      </c>
      <c r="G2" s="13" t="s">
        <v>0</v>
      </c>
      <c r="H2" s="5" t="s">
        <v>1</v>
      </c>
      <c r="I2" s="13" t="s">
        <v>3</v>
      </c>
    </row>
    <row r="3" spans="1:9">
      <c r="A3" s="20" t="s">
        <v>4</v>
      </c>
      <c r="B3" s="15" t="s">
        <v>27</v>
      </c>
      <c r="C3" s="6">
        <v>27</v>
      </c>
      <c r="D3" s="24">
        <v>0.12852752057613101</v>
      </c>
      <c r="E3" s="24">
        <v>35.7377319335937</v>
      </c>
      <c r="F3" s="6">
        <v>27</v>
      </c>
      <c r="G3" s="24">
        <v>0.12852752057613101</v>
      </c>
      <c r="H3" s="24">
        <v>35.7377319335937</v>
      </c>
      <c r="I3" s="7">
        <f>bdrate($D3:$D6,E3:E6,$G3:$G6,H3:H6)</f>
        <v>0</v>
      </c>
    </row>
    <row r="4" spans="1:9">
      <c r="A4" s="14" t="s">
        <v>5</v>
      </c>
      <c r="B4" s="16"/>
      <c r="C4" s="8">
        <v>32</v>
      </c>
      <c r="D4" s="24">
        <v>8.7893679269547303E-2</v>
      </c>
      <c r="E4" s="24">
        <v>35.213768005371001</v>
      </c>
      <c r="F4" s="8">
        <v>32</v>
      </c>
      <c r="G4" s="24">
        <v>8.7893679269547303E-2</v>
      </c>
      <c r="H4" s="24">
        <v>35.213768005371001</v>
      </c>
      <c r="I4" s="9"/>
    </row>
    <row r="5" spans="1:9">
      <c r="A5" s="8"/>
      <c r="B5" s="16"/>
      <c r="C5" s="8">
        <v>38</v>
      </c>
      <c r="D5" s="24">
        <v>6.1944926697530801E-2</v>
      </c>
      <c r="E5" s="24">
        <v>34.599849700927699</v>
      </c>
      <c r="F5" s="8">
        <v>38</v>
      </c>
      <c r="G5" s="24">
        <v>6.1944926697530801E-2</v>
      </c>
      <c r="H5" s="24">
        <v>34.599849700927699</v>
      </c>
      <c r="I5" s="9"/>
    </row>
    <row r="6" spans="1:9" ht="15" thickBot="1">
      <c r="A6" s="8"/>
      <c r="B6" s="17"/>
      <c r="C6" s="10">
        <v>45</v>
      </c>
      <c r="D6" s="24">
        <v>3.9945505401234503E-2</v>
      </c>
      <c r="E6" s="24">
        <v>33.588111877441399</v>
      </c>
      <c r="F6" s="10">
        <v>45</v>
      </c>
      <c r="G6" s="24">
        <v>3.9945505401234503E-2</v>
      </c>
      <c r="H6" s="24">
        <v>33.588111877441399</v>
      </c>
      <c r="I6" s="2"/>
    </row>
    <row r="7" spans="1:9">
      <c r="A7" s="8"/>
      <c r="B7" s="15" t="s">
        <v>12</v>
      </c>
      <c r="C7" s="6">
        <v>27</v>
      </c>
      <c r="D7" s="24">
        <v>0.20939782664609</v>
      </c>
      <c r="E7" s="24">
        <v>33.5188598632812</v>
      </c>
      <c r="F7" s="6">
        <v>27</v>
      </c>
      <c r="G7" s="24">
        <v>0.18688368055555499</v>
      </c>
      <c r="H7" s="24">
        <v>33.791717529296797</v>
      </c>
      <c r="I7" s="7">
        <f>bdrate($D7:$D10,E7:E10,$G7:$G10,H7:H10)</f>
        <v>-0.37963769091424049</v>
      </c>
    </row>
    <row r="8" spans="1:9">
      <c r="A8" s="8"/>
      <c r="C8" s="8">
        <v>32</v>
      </c>
      <c r="D8" s="24">
        <v>0.115536586934156</v>
      </c>
      <c r="E8" s="24">
        <v>32.664688110351499</v>
      </c>
      <c r="F8" s="8">
        <v>32</v>
      </c>
      <c r="G8" s="24">
        <v>0.104747299382716</v>
      </c>
      <c r="H8" s="24">
        <v>33.188018798828097</v>
      </c>
      <c r="I8" s="9"/>
    </row>
    <row r="9" spans="1:9">
      <c r="A9" s="8"/>
      <c r="B9" s="16"/>
      <c r="C9" s="8">
        <v>38</v>
      </c>
      <c r="D9" s="24">
        <v>7.21736754115226E-2</v>
      </c>
      <c r="E9" s="24">
        <v>31.948848724365199</v>
      </c>
      <c r="F9" s="8">
        <v>38</v>
      </c>
      <c r="G9" s="24">
        <v>6.7697563014403203E-2</v>
      </c>
      <c r="H9" s="24">
        <v>32.634788513183501</v>
      </c>
      <c r="I9" s="9"/>
    </row>
    <row r="10" spans="1:9" ht="15" thickBot="1">
      <c r="A10" s="8"/>
      <c r="B10" s="17"/>
      <c r="C10" s="10">
        <v>45</v>
      </c>
      <c r="D10" s="24">
        <v>4.2048932613168701E-2</v>
      </c>
      <c r="E10" s="24">
        <v>30.909786224365199</v>
      </c>
      <c r="F10" s="10">
        <v>45</v>
      </c>
      <c r="G10" s="24">
        <v>4.1668756430041101E-2</v>
      </c>
      <c r="H10" s="24">
        <v>31.763713836669901</v>
      </c>
      <c r="I10" s="9"/>
    </row>
    <row r="11" spans="1:9">
      <c r="A11" s="14"/>
      <c r="B11" s="21" t="s">
        <v>18</v>
      </c>
      <c r="C11" s="6">
        <v>27</v>
      </c>
      <c r="D11" s="24">
        <v>0.145952932098765</v>
      </c>
      <c r="E11" s="24">
        <v>34.099388122558501</v>
      </c>
      <c r="F11" s="6">
        <v>27</v>
      </c>
      <c r="G11" s="24">
        <v>0.137164673353909</v>
      </c>
      <c r="H11" s="24">
        <v>34.4438667297363</v>
      </c>
      <c r="I11" s="7">
        <f>bdrate($D11:$D14,E11:E14,$G11:$G14,H11:H14)</f>
        <v>-0.34955525881021665</v>
      </c>
    </row>
    <row r="12" spans="1:9">
      <c r="A12" s="14"/>
      <c r="B12" s="16"/>
      <c r="C12" s="8">
        <v>32</v>
      </c>
      <c r="D12" s="24">
        <v>8.8893068415637794E-2</v>
      </c>
      <c r="E12" s="24">
        <v>33.478126525878899</v>
      </c>
      <c r="F12" s="8">
        <v>32</v>
      </c>
      <c r="G12" s="24">
        <v>8.3194765946502006E-2</v>
      </c>
      <c r="H12" s="24">
        <v>33.969821929931598</v>
      </c>
      <c r="I12" s="9"/>
    </row>
    <row r="13" spans="1:9">
      <c r="A13" s="8"/>
      <c r="C13" s="8">
        <v>38</v>
      </c>
      <c r="D13" s="24">
        <v>5.7060024434156302E-2</v>
      </c>
      <c r="E13" s="24">
        <v>32.784072875976499</v>
      </c>
      <c r="F13" s="8">
        <v>38</v>
      </c>
      <c r="G13" s="24">
        <v>5.5670492541152201E-2</v>
      </c>
      <c r="H13" s="24">
        <v>33.443874359130803</v>
      </c>
      <c r="I13" s="9"/>
    </row>
    <row r="14" spans="1:9" ht="15" thickBot="1">
      <c r="A14" s="8"/>
      <c r="B14" s="17"/>
      <c r="C14" s="10">
        <v>45</v>
      </c>
      <c r="D14" s="24">
        <v>3.3213895318930001E-2</v>
      </c>
      <c r="E14" s="24">
        <v>31.670574188232401</v>
      </c>
      <c r="F14" s="10">
        <v>45</v>
      </c>
      <c r="G14" s="24">
        <v>3.4042084619341502E-2</v>
      </c>
      <c r="H14" s="24">
        <v>32.529850006103501</v>
      </c>
      <c r="I14" s="2"/>
    </row>
    <row r="15" spans="1:9">
      <c r="A15" s="8"/>
      <c r="B15" s="15" t="s">
        <v>22</v>
      </c>
      <c r="C15" s="6">
        <v>27</v>
      </c>
      <c r="D15" s="24">
        <v>0.12527874228395</v>
      </c>
      <c r="E15" s="24">
        <v>38.247966766357401</v>
      </c>
      <c r="F15" s="6">
        <v>27</v>
      </c>
      <c r="G15" s="24">
        <v>0.12527874228395</v>
      </c>
      <c r="H15" s="24">
        <v>38.247966766357401</v>
      </c>
      <c r="I15" s="7">
        <f>bdrate($D15:$D18,E15:E18,$G15:$G18,H15:H18)</f>
        <v>0</v>
      </c>
    </row>
    <row r="16" spans="1:9">
      <c r="A16" s="8"/>
      <c r="C16" s="8">
        <v>32</v>
      </c>
      <c r="D16" s="24">
        <v>8.4038548096707799E-2</v>
      </c>
      <c r="E16" s="24">
        <v>37.433433532714801</v>
      </c>
      <c r="F16" s="8">
        <v>32</v>
      </c>
      <c r="G16" s="24">
        <v>8.4038548096707799E-2</v>
      </c>
      <c r="H16" s="24">
        <v>37.433433532714801</v>
      </c>
      <c r="I16" s="9"/>
    </row>
    <row r="17" spans="1:9">
      <c r="A17" s="8"/>
      <c r="B17" s="16"/>
      <c r="C17" s="8">
        <v>38</v>
      </c>
      <c r="D17" s="24">
        <v>5.7751575360082297E-2</v>
      </c>
      <c r="E17" s="24">
        <v>36.477035522460902</v>
      </c>
      <c r="F17" s="8">
        <v>38</v>
      </c>
      <c r="G17" s="24">
        <v>5.7751575360082297E-2</v>
      </c>
      <c r="H17" s="24">
        <v>36.477035522460902</v>
      </c>
      <c r="I17" s="9"/>
    </row>
    <row r="18" spans="1:9" ht="15" thickBot="1">
      <c r="A18" s="8"/>
      <c r="B18" s="17"/>
      <c r="C18" s="10">
        <v>45</v>
      </c>
      <c r="D18" s="24">
        <v>3.5754565329218099E-2</v>
      </c>
      <c r="E18" s="24">
        <v>34.980873107910099</v>
      </c>
      <c r="F18" s="10">
        <v>45</v>
      </c>
      <c r="G18" s="24">
        <v>3.5754565329218099E-2</v>
      </c>
      <c r="H18" s="24">
        <v>34.980873107910099</v>
      </c>
      <c r="I18" s="9"/>
    </row>
    <row r="19" spans="1:9">
      <c r="A19" s="8"/>
      <c r="B19" s="21" t="s">
        <v>23</v>
      </c>
      <c r="C19" s="6">
        <v>27</v>
      </c>
      <c r="D19" s="24">
        <v>0.150858892746913</v>
      </c>
      <c r="E19" s="24">
        <v>35.021903991699197</v>
      </c>
      <c r="F19" s="6">
        <v>27</v>
      </c>
      <c r="G19" s="24">
        <v>0.12865451388888799</v>
      </c>
      <c r="H19" s="24">
        <v>35.776451110839801</v>
      </c>
      <c r="I19" s="7">
        <f>bdrate($D19:$D22,E19:E22,$G19:$G22,H19:H22)</f>
        <v>-0.44285663816013698</v>
      </c>
    </row>
    <row r="20" spans="1:9">
      <c r="A20" s="8"/>
      <c r="B20" s="16"/>
      <c r="C20" s="8">
        <v>32</v>
      </c>
      <c r="D20" s="24">
        <v>9.2465599279835303E-2</v>
      </c>
      <c r="E20" s="24">
        <v>33.912879943847599</v>
      </c>
      <c r="F20" s="8">
        <v>32</v>
      </c>
      <c r="G20" s="24">
        <v>8.2682291666666602E-2</v>
      </c>
      <c r="H20" s="24">
        <v>34.997596740722599</v>
      </c>
      <c r="I20" s="9"/>
    </row>
    <row r="21" spans="1:9">
      <c r="A21" s="8"/>
      <c r="B21" s="16"/>
      <c r="C21" s="8">
        <v>38</v>
      </c>
      <c r="D21" s="24">
        <v>5.93166473765432E-2</v>
      </c>
      <c r="E21" s="24">
        <v>32.780540466308501</v>
      </c>
      <c r="F21" s="8">
        <v>38</v>
      </c>
      <c r="G21" s="24">
        <v>5.5543820730452602E-2</v>
      </c>
      <c r="H21" s="24">
        <v>34.110927581787102</v>
      </c>
      <c r="I21" s="9"/>
    </row>
    <row r="22" spans="1:9" ht="15" thickBot="1">
      <c r="A22" s="8"/>
      <c r="B22" s="17"/>
      <c r="C22" s="10">
        <v>45</v>
      </c>
      <c r="D22" s="24">
        <v>3.3872974537036998E-2</v>
      </c>
      <c r="E22" s="24">
        <v>31.2306823730468</v>
      </c>
      <c r="F22" s="10">
        <v>45</v>
      </c>
      <c r="G22" s="24">
        <v>3.3333333333333298E-2</v>
      </c>
      <c r="H22" s="24">
        <v>32.721855163574197</v>
      </c>
      <c r="I22" s="2"/>
    </row>
    <row r="23" spans="1:9">
      <c r="A23" s="20" t="s">
        <v>6</v>
      </c>
      <c r="B23" s="15" t="s">
        <v>28</v>
      </c>
      <c r="C23" s="6">
        <v>27</v>
      </c>
      <c r="D23" s="24">
        <v>0.16314519898504201</v>
      </c>
      <c r="E23" s="24">
        <v>35.106185913085902</v>
      </c>
      <c r="F23" s="6">
        <v>27</v>
      </c>
      <c r="G23" s="24">
        <v>0.165908787393162</v>
      </c>
      <c r="H23" s="24">
        <v>35.907764434814403</v>
      </c>
      <c r="I23" s="7">
        <f>bdrate($D23:$D26,E23:E26,$G23:$G26,H23:H26)</f>
        <v>-0.27644271564762302</v>
      </c>
    </row>
    <row r="24" spans="1:9">
      <c r="A24" s="14" t="s">
        <v>7</v>
      </c>
      <c r="B24" s="16"/>
      <c r="C24" s="8">
        <v>32</v>
      </c>
      <c r="D24" s="24">
        <v>0.113540831997863</v>
      </c>
      <c r="E24" s="24">
        <v>34.248420715332003</v>
      </c>
      <c r="F24" s="8">
        <v>32</v>
      </c>
      <c r="G24" s="24">
        <v>0.11720419337606799</v>
      </c>
      <c r="H24" s="24">
        <v>35.186260223388601</v>
      </c>
      <c r="I24" s="9"/>
    </row>
    <row r="25" spans="1:9">
      <c r="A25" s="8"/>
      <c r="B25" s="16"/>
      <c r="C25" s="8">
        <v>38</v>
      </c>
      <c r="D25" s="24">
        <v>7.9633246527777701E-2</v>
      </c>
      <c r="E25" s="24">
        <v>33.278575897216797</v>
      </c>
      <c r="F25" s="8">
        <v>38</v>
      </c>
      <c r="G25" s="24">
        <v>8.3521968482905898E-2</v>
      </c>
      <c r="H25" s="24">
        <v>34.313186645507798</v>
      </c>
      <c r="I25" s="9"/>
    </row>
    <row r="26" spans="1:9" ht="15" thickBot="1">
      <c r="A26" s="8"/>
      <c r="B26" s="17"/>
      <c r="C26" s="10">
        <v>45</v>
      </c>
      <c r="D26" s="24">
        <v>4.9858940972222203E-2</v>
      </c>
      <c r="E26" s="24">
        <v>31.819387435913001</v>
      </c>
      <c r="F26" s="10">
        <v>45</v>
      </c>
      <c r="G26" s="24">
        <v>5.3235176282051197E-2</v>
      </c>
      <c r="H26" s="24">
        <v>32.925270080566399</v>
      </c>
      <c r="I26" s="2"/>
    </row>
    <row r="27" spans="1:9">
      <c r="A27" s="8"/>
      <c r="B27" s="15" t="s">
        <v>13</v>
      </c>
      <c r="C27" s="6">
        <v>27</v>
      </c>
      <c r="D27" s="24">
        <v>0.20293219150641001</v>
      </c>
      <c r="E27" s="24">
        <v>34.739761352538999</v>
      </c>
      <c r="F27" s="6">
        <v>27</v>
      </c>
      <c r="G27" s="24">
        <v>0.213974025106837</v>
      </c>
      <c r="H27" s="24">
        <v>35.309455871582003</v>
      </c>
      <c r="I27" s="7">
        <f>bdrate($D27:$D30,E27:E30,$G27:$G30,H27:H30)</f>
        <v>-0.18118244099092606</v>
      </c>
    </row>
    <row r="28" spans="1:9">
      <c r="A28" s="8"/>
      <c r="B28" s="16"/>
      <c r="C28" s="8">
        <v>32</v>
      </c>
      <c r="D28" s="24">
        <v>0.14119257478632399</v>
      </c>
      <c r="E28" s="24">
        <v>33.811141967773402</v>
      </c>
      <c r="F28" s="8">
        <v>32</v>
      </c>
      <c r="G28" s="24">
        <v>0.14977881276709401</v>
      </c>
      <c r="H28" s="24">
        <v>34.519222259521399</v>
      </c>
      <c r="I28" s="9"/>
    </row>
    <row r="29" spans="1:9">
      <c r="A29" s="8"/>
      <c r="B29" s="16"/>
      <c r="C29" s="8">
        <v>38</v>
      </c>
      <c r="D29" s="24">
        <v>9.9886485042734993E-2</v>
      </c>
      <c r="E29" s="24">
        <v>32.753860473632798</v>
      </c>
      <c r="F29" s="8">
        <v>38</v>
      </c>
      <c r="G29" s="24">
        <v>0.10715060763888801</v>
      </c>
      <c r="H29" s="24">
        <v>33.604583740234297</v>
      </c>
      <c r="I29" s="9"/>
    </row>
    <row r="30" spans="1:9" ht="15" thickBot="1">
      <c r="A30" s="8"/>
      <c r="B30" s="17"/>
      <c r="C30" s="10">
        <v>45</v>
      </c>
      <c r="D30" s="24">
        <v>6.2670272435897401E-2</v>
      </c>
      <c r="E30" s="24">
        <v>31.0444221496582</v>
      </c>
      <c r="F30" s="10">
        <v>45</v>
      </c>
      <c r="G30" s="24">
        <v>6.9599692841880306E-2</v>
      </c>
      <c r="H30" s="24">
        <v>32.119453430175703</v>
      </c>
      <c r="I30" s="2"/>
    </row>
    <row r="31" spans="1:9">
      <c r="A31" s="14"/>
      <c r="B31" s="15" t="s">
        <v>29</v>
      </c>
      <c r="C31" s="6">
        <v>27</v>
      </c>
      <c r="D31" s="24">
        <v>0.39725060096153803</v>
      </c>
      <c r="E31" s="24">
        <v>31.388912200927699</v>
      </c>
      <c r="F31" s="6">
        <v>27</v>
      </c>
      <c r="G31" s="24">
        <v>0.36040665064102501</v>
      </c>
      <c r="H31" s="24">
        <v>32.454494476318303</v>
      </c>
      <c r="I31" s="7">
        <f>bdrate($D31:$D34,E31:E34,$G31:$G34,H31:H34)</f>
        <v>-0.46203428945357194</v>
      </c>
    </row>
    <row r="32" spans="1:9">
      <c r="A32" s="14"/>
      <c r="B32" s="16"/>
      <c r="C32" s="8">
        <v>32</v>
      </c>
      <c r="D32" s="24">
        <v>0.26682775774572598</v>
      </c>
      <c r="E32" s="24">
        <v>30.264736175537099</v>
      </c>
      <c r="F32" s="8">
        <v>32</v>
      </c>
      <c r="G32" s="24">
        <v>0.23519547943376001</v>
      </c>
      <c r="H32" s="24">
        <v>31.599323272705</v>
      </c>
      <c r="I32" s="9"/>
    </row>
    <row r="33" spans="1:9">
      <c r="A33" s="8"/>
      <c r="B33" s="16"/>
      <c r="C33" s="8">
        <v>38</v>
      </c>
      <c r="D33" s="24">
        <v>0.18245108840811899</v>
      </c>
      <c r="E33" s="24">
        <v>29.153356552123999</v>
      </c>
      <c r="F33" s="8">
        <v>38</v>
      </c>
      <c r="G33" s="24">
        <v>0.16614583333333299</v>
      </c>
      <c r="H33" s="24">
        <v>30.6920070648193</v>
      </c>
      <c r="I33" s="9"/>
    </row>
    <row r="34" spans="1:9" ht="15" thickBot="1">
      <c r="A34" s="8"/>
      <c r="B34" s="17"/>
      <c r="C34" s="10">
        <v>45</v>
      </c>
      <c r="D34" s="24">
        <v>0.10890925480769199</v>
      </c>
      <c r="E34" s="24">
        <v>27.6265258789062</v>
      </c>
      <c r="F34" s="10">
        <v>45</v>
      </c>
      <c r="G34" s="24">
        <v>0.104974626068376</v>
      </c>
      <c r="H34" s="24">
        <v>29.3139114379882</v>
      </c>
      <c r="I34" s="2"/>
    </row>
    <row r="35" spans="1:9">
      <c r="A35" s="8"/>
      <c r="B35" s="15" t="s">
        <v>30</v>
      </c>
      <c r="C35" s="6">
        <v>27</v>
      </c>
      <c r="D35" s="24">
        <v>0.43841980502136702</v>
      </c>
      <c r="E35" s="24">
        <v>33.166545867919901</v>
      </c>
      <c r="F35" s="6">
        <v>27</v>
      </c>
      <c r="G35" s="24">
        <v>0.438419805</v>
      </c>
      <c r="H35" s="24">
        <v>33.16654587</v>
      </c>
      <c r="I35" s="7">
        <f>bdrate($D35:$D38,E35:E38,$G35:$G38,H35:H38)</f>
        <v>7.0235239846283548E-10</v>
      </c>
    </row>
    <row r="36" spans="1:9">
      <c r="A36" s="8"/>
      <c r="B36" s="16"/>
      <c r="C36" s="8">
        <v>32</v>
      </c>
      <c r="D36" s="24">
        <v>0.29450287126068297</v>
      </c>
      <c r="E36" s="24">
        <v>32.267864227294901</v>
      </c>
      <c r="F36" s="8">
        <v>32</v>
      </c>
      <c r="G36" s="24">
        <v>0.294502871</v>
      </c>
      <c r="H36" s="24">
        <v>32.267864230000001</v>
      </c>
      <c r="I36" s="9"/>
    </row>
    <row r="37" spans="1:9">
      <c r="A37" s="8"/>
      <c r="B37" s="16"/>
      <c r="C37" s="8">
        <v>38</v>
      </c>
      <c r="D37" s="24">
        <v>0.18737229567307601</v>
      </c>
      <c r="E37" s="24">
        <v>31.106258392333899</v>
      </c>
      <c r="F37" s="8">
        <v>38</v>
      </c>
      <c r="G37" s="24">
        <v>0.18737229599999999</v>
      </c>
      <c r="H37" s="24">
        <v>31.106258390000001</v>
      </c>
      <c r="I37" s="9"/>
    </row>
    <row r="38" spans="1:9" ht="15" thickBot="1">
      <c r="A38" s="8"/>
      <c r="B38" s="17"/>
      <c r="C38" s="10">
        <v>45</v>
      </c>
      <c r="D38" s="24">
        <v>0.105884415064102</v>
      </c>
      <c r="E38" s="24">
        <v>29.440130233764599</v>
      </c>
      <c r="F38" s="10">
        <v>45</v>
      </c>
      <c r="G38" s="24">
        <v>0.105884415</v>
      </c>
      <c r="H38" s="24">
        <v>29.440130230000001</v>
      </c>
      <c r="I38" s="2"/>
    </row>
    <row r="39" spans="1:9">
      <c r="A39" s="20" t="s">
        <v>8</v>
      </c>
      <c r="B39" s="15" t="s">
        <v>14</v>
      </c>
      <c r="C39" s="6">
        <v>27</v>
      </c>
      <c r="D39" s="24">
        <v>0.18964009081196501</v>
      </c>
      <c r="E39" s="24">
        <v>36.120231628417898</v>
      </c>
      <c r="F39" s="6">
        <v>27</v>
      </c>
      <c r="G39" s="24">
        <v>0.18791065705128199</v>
      </c>
      <c r="H39" s="24">
        <v>36.770111083984297</v>
      </c>
      <c r="I39" s="7">
        <f>bdrate($D39:$D42,E39:E42,$G39:$G42,H39:H42)</f>
        <v>-0.19728148522589373</v>
      </c>
    </row>
    <row r="40" spans="1:9">
      <c r="A40" s="14" t="s">
        <v>9</v>
      </c>
      <c r="B40" s="16"/>
      <c r="C40" s="8">
        <v>32</v>
      </c>
      <c r="D40" s="24">
        <v>0.13537994123931599</v>
      </c>
      <c r="E40" s="24">
        <v>35.041999816894503</v>
      </c>
      <c r="F40" s="8">
        <v>32</v>
      </c>
      <c r="G40" s="24">
        <v>0.13548344017093999</v>
      </c>
      <c r="H40" s="24">
        <v>35.8191528320312</v>
      </c>
      <c r="I40" s="9"/>
    </row>
    <row r="41" spans="1:9">
      <c r="A41" s="8"/>
      <c r="B41" s="16"/>
      <c r="C41" s="8">
        <v>38</v>
      </c>
      <c r="D41" s="24">
        <v>9.5586271367521305E-2</v>
      </c>
      <c r="E41" s="24">
        <v>33.824668884277301</v>
      </c>
      <c r="F41" s="8">
        <v>38</v>
      </c>
      <c r="G41" s="24">
        <v>9.7402510683760601E-2</v>
      </c>
      <c r="H41" s="24">
        <v>34.683616638183501</v>
      </c>
      <c r="I41" s="9"/>
    </row>
    <row r="42" spans="1:9" ht="15" thickBot="1">
      <c r="A42" s="8"/>
      <c r="B42" s="17"/>
      <c r="C42" s="10">
        <v>45</v>
      </c>
      <c r="D42" s="24">
        <v>5.9728899572649499E-2</v>
      </c>
      <c r="E42" s="24">
        <v>31.920585632324201</v>
      </c>
      <c r="F42" s="10">
        <v>45</v>
      </c>
      <c r="G42" s="24">
        <v>6.2279647435897402E-2</v>
      </c>
      <c r="H42" s="24">
        <v>32.918300628662102</v>
      </c>
      <c r="I42" s="2"/>
    </row>
    <row r="43" spans="1:9">
      <c r="A43" s="8"/>
      <c r="B43" s="15" t="s">
        <v>19</v>
      </c>
      <c r="C43" s="6">
        <v>27</v>
      </c>
      <c r="D43" s="24">
        <v>0.30197315705128203</v>
      </c>
      <c r="E43" s="24">
        <v>32.797653198242102</v>
      </c>
      <c r="F43" s="6">
        <v>27</v>
      </c>
      <c r="G43" s="24">
        <v>0.25926482371794801</v>
      </c>
      <c r="H43" s="24">
        <v>33.753532409667898</v>
      </c>
      <c r="I43" s="7">
        <f>bdrate($D43:$D46,E43:E46,$G43:$G46,H43:H46)</f>
        <v>-0.45159087503725659</v>
      </c>
    </row>
    <row r="44" spans="1:9">
      <c r="A44" s="8"/>
      <c r="B44" s="16"/>
      <c r="C44" s="8">
        <v>32</v>
      </c>
      <c r="D44" s="24">
        <v>0.199098557692307</v>
      </c>
      <c r="E44" s="24">
        <v>31.6095657348632</v>
      </c>
      <c r="F44" s="8">
        <v>32</v>
      </c>
      <c r="G44" s="24">
        <v>0.17297008547008499</v>
      </c>
      <c r="H44" s="24">
        <v>32.864547729492102</v>
      </c>
      <c r="I44" s="9"/>
    </row>
    <row r="45" spans="1:9">
      <c r="A45" s="8"/>
      <c r="B45" s="16"/>
      <c r="C45" s="8">
        <v>38</v>
      </c>
      <c r="D45" s="24">
        <v>0.13370058760683701</v>
      </c>
      <c r="E45" s="24">
        <v>30.422903060913001</v>
      </c>
      <c r="F45" s="8">
        <v>38</v>
      </c>
      <c r="G45" s="24">
        <v>0.11912727029914499</v>
      </c>
      <c r="H45" s="24">
        <v>31.884201049804599</v>
      </c>
      <c r="I45" s="9"/>
    </row>
    <row r="46" spans="1:9" ht="15" thickBot="1">
      <c r="A46" s="8"/>
      <c r="B46" s="17"/>
      <c r="C46" s="10">
        <v>45</v>
      </c>
      <c r="D46" s="24">
        <v>7.8472222222222193E-2</v>
      </c>
      <c r="E46" s="24">
        <v>28.700370788574201</v>
      </c>
      <c r="F46" s="10">
        <v>45</v>
      </c>
      <c r="G46" s="24">
        <v>7.3844818376068294E-2</v>
      </c>
      <c r="H46" s="24">
        <v>30.389913558959901</v>
      </c>
      <c r="I46" s="2"/>
    </row>
    <row r="47" spans="1:9">
      <c r="A47" s="14"/>
      <c r="B47" s="15" t="s">
        <v>15</v>
      </c>
      <c r="C47" s="6">
        <v>27</v>
      </c>
      <c r="D47" s="24">
        <v>0.30123530982905899</v>
      </c>
      <c r="E47" s="24">
        <v>32.879756927490199</v>
      </c>
      <c r="F47" s="6">
        <v>27</v>
      </c>
      <c r="G47" s="24">
        <v>0.20791599893162299</v>
      </c>
      <c r="H47" s="24">
        <v>34.258644104003899</v>
      </c>
      <c r="I47" s="7">
        <f>bdrate($D47:$D50,E47:E50,$G47:$G50,H47:H50)</f>
        <v>-0.64669444812959087</v>
      </c>
    </row>
    <row r="48" spans="1:9">
      <c r="A48" s="14"/>
      <c r="B48" s="16"/>
      <c r="C48" s="8">
        <v>32</v>
      </c>
      <c r="D48" s="24">
        <v>0.199121928418803</v>
      </c>
      <c r="E48" s="24">
        <v>31.612928390502901</v>
      </c>
      <c r="F48" s="8">
        <v>32</v>
      </c>
      <c r="G48" s="24">
        <v>0.13011485042734999</v>
      </c>
      <c r="H48" s="24">
        <v>33.308174133300703</v>
      </c>
      <c r="I48" s="9"/>
    </row>
    <row r="49" spans="1:9">
      <c r="A49" s="8"/>
      <c r="B49" s="16"/>
      <c r="C49" s="8">
        <v>38</v>
      </c>
      <c r="D49" s="24">
        <v>0.13046541132478601</v>
      </c>
      <c r="E49" s="24">
        <v>30.2335491180419</v>
      </c>
      <c r="F49" s="8">
        <v>38</v>
      </c>
      <c r="G49" s="24">
        <v>8.6665331196581194E-2</v>
      </c>
      <c r="H49" s="24">
        <v>32.294708251953097</v>
      </c>
      <c r="I49" s="9"/>
    </row>
    <row r="50" spans="1:9" ht="15" thickBot="1">
      <c r="A50" s="8"/>
      <c r="B50" s="17"/>
      <c r="C50" s="10">
        <v>45</v>
      </c>
      <c r="D50" s="24">
        <v>7.5540865384615297E-2</v>
      </c>
      <c r="E50" s="24">
        <v>28.373455047607401</v>
      </c>
      <c r="F50" s="10">
        <v>45</v>
      </c>
      <c r="G50" s="24">
        <v>5.69544604700854E-2</v>
      </c>
      <c r="H50" s="24">
        <v>30.816022872924801</v>
      </c>
      <c r="I50" s="2"/>
    </row>
    <row r="51" spans="1:9">
      <c r="A51" s="8"/>
      <c r="B51" s="15" t="s">
        <v>20</v>
      </c>
      <c r="C51" s="6">
        <v>27</v>
      </c>
      <c r="D51" s="24">
        <v>0.41608239850427298</v>
      </c>
      <c r="E51" s="24">
        <v>34.130081176757798</v>
      </c>
      <c r="F51" s="6">
        <v>27</v>
      </c>
      <c r="G51" s="24">
        <v>0.41608239850427298</v>
      </c>
      <c r="H51" s="24">
        <v>34.130081176757798</v>
      </c>
      <c r="I51" s="7">
        <f>bdrate($D51:$D54,E51:E54,$G51:$G54,H51:H54)</f>
        <v>0</v>
      </c>
    </row>
    <row r="52" spans="1:9">
      <c r="A52" s="8"/>
      <c r="B52" s="16"/>
      <c r="C52" s="8">
        <v>32</v>
      </c>
      <c r="D52" s="24">
        <v>0.286942441239316</v>
      </c>
      <c r="E52" s="24">
        <v>32.937938690185497</v>
      </c>
      <c r="F52" s="8">
        <v>32</v>
      </c>
      <c r="G52" s="24">
        <v>0.286942441239316</v>
      </c>
      <c r="H52" s="24">
        <v>32.937938690185497</v>
      </c>
      <c r="I52" s="9"/>
    </row>
    <row r="53" spans="1:9">
      <c r="A53" s="8"/>
      <c r="B53" s="16"/>
      <c r="C53" s="8">
        <v>38</v>
      </c>
      <c r="D53" s="24">
        <v>0.19703525641025599</v>
      </c>
      <c r="E53" s="24">
        <v>31.568296432495099</v>
      </c>
      <c r="F53" s="8">
        <v>38</v>
      </c>
      <c r="G53" s="24">
        <v>0.19703525641025599</v>
      </c>
      <c r="H53" s="24">
        <v>31.568296432495099</v>
      </c>
      <c r="I53" s="9"/>
    </row>
    <row r="54" spans="1:9" ht="15" thickBot="1">
      <c r="A54" s="8"/>
      <c r="B54" s="17"/>
      <c r="C54" s="10">
        <v>45</v>
      </c>
      <c r="D54" s="24">
        <v>0.117561431623931</v>
      </c>
      <c r="E54" s="24">
        <v>29.6521797180175</v>
      </c>
      <c r="F54" s="10">
        <v>45</v>
      </c>
      <c r="G54" s="24">
        <v>0.117561431623931</v>
      </c>
      <c r="H54" s="24">
        <v>29.6521797180175</v>
      </c>
      <c r="I54" s="2"/>
    </row>
    <row r="55" spans="1:9">
      <c r="A55" s="20" t="s">
        <v>10</v>
      </c>
      <c r="B55" s="15" t="s">
        <v>16</v>
      </c>
      <c r="C55" s="6">
        <v>27</v>
      </c>
      <c r="D55" s="24">
        <v>3.8115596064814801E-2</v>
      </c>
      <c r="E55" s="24">
        <v>38.637443542480398</v>
      </c>
      <c r="F55" s="6">
        <v>27</v>
      </c>
      <c r="G55" s="24">
        <v>3.4354745370370303E-2</v>
      </c>
      <c r="H55" s="24">
        <v>39.529769897460902</v>
      </c>
      <c r="I55" s="7">
        <f>bdrate($D55:$D58,E55:E58,$G55:$G58,H55:H58)</f>
        <v>-0.38417965940120236</v>
      </c>
    </row>
    <row r="56" spans="1:9">
      <c r="A56" s="14" t="s">
        <v>11</v>
      </c>
      <c r="B56" s="16"/>
      <c r="C56" s="8">
        <v>32</v>
      </c>
      <c r="D56" s="24">
        <v>2.6616753472222199E-2</v>
      </c>
      <c r="E56" s="24">
        <v>37.999210357666001</v>
      </c>
      <c r="F56" s="8">
        <v>32</v>
      </c>
      <c r="G56" s="24">
        <v>2.4573929398148099E-2</v>
      </c>
      <c r="H56" s="24">
        <v>39.034282684326101</v>
      </c>
      <c r="I56" s="9"/>
    </row>
    <row r="57" spans="1:9">
      <c r="A57" s="8"/>
      <c r="B57" s="16"/>
      <c r="C57" s="8">
        <v>38</v>
      </c>
      <c r="D57" s="24">
        <v>1.9542824074074001E-2</v>
      </c>
      <c r="E57" s="24">
        <v>37.205001831054602</v>
      </c>
      <c r="F57" s="8">
        <v>38</v>
      </c>
      <c r="G57" s="24">
        <v>1.8317780671296201E-2</v>
      </c>
      <c r="H57" s="24">
        <v>38.366252899169901</v>
      </c>
      <c r="I57" s="9"/>
    </row>
    <row r="58" spans="1:9" ht="15" thickBot="1">
      <c r="A58" s="8"/>
      <c r="B58" s="17"/>
      <c r="C58" s="10">
        <v>45</v>
      </c>
      <c r="D58" s="24">
        <v>1.37033420138888E-2</v>
      </c>
      <c r="E58" s="24">
        <v>35.718410491943303</v>
      </c>
      <c r="F58" s="10">
        <v>45</v>
      </c>
      <c r="G58" s="24">
        <v>1.30327690972222E-2</v>
      </c>
      <c r="H58" s="24">
        <v>37.10347366333</v>
      </c>
      <c r="I58" s="2"/>
    </row>
    <row r="59" spans="1:9">
      <c r="A59" s="8"/>
      <c r="B59" s="15" t="s">
        <v>17</v>
      </c>
      <c r="C59" s="6">
        <v>27</v>
      </c>
      <c r="D59" s="24">
        <v>2.85101996527777E-2</v>
      </c>
      <c r="E59" s="24">
        <v>38.910476684570298</v>
      </c>
      <c r="F59" s="6">
        <v>27</v>
      </c>
      <c r="G59" s="24">
        <v>2.5199652777777699E-2</v>
      </c>
      <c r="H59" s="24">
        <v>39.756744384765597</v>
      </c>
      <c r="I59" s="7">
        <f>bdrate($D59:$D62,E59:E62,$G59:$G62,H59:H62)</f>
        <v>-0.4517411505082034</v>
      </c>
    </row>
    <row r="60" spans="1:9">
      <c r="A60" s="8"/>
      <c r="B60" s="16"/>
      <c r="C60" s="8">
        <v>32</v>
      </c>
      <c r="D60" s="24">
        <v>1.89735243055555E-2</v>
      </c>
      <c r="E60" s="24">
        <v>38.380584716796797</v>
      </c>
      <c r="F60" s="8">
        <v>32</v>
      </c>
      <c r="G60" s="24">
        <v>1.7516276041666601E-2</v>
      </c>
      <c r="H60" s="24">
        <v>39.396709442138601</v>
      </c>
      <c r="I60" s="9"/>
    </row>
    <row r="61" spans="1:9">
      <c r="A61" s="8"/>
      <c r="B61" s="16"/>
      <c r="C61" s="8">
        <v>38</v>
      </c>
      <c r="D61" s="24">
        <v>1.3864293981481399E-2</v>
      </c>
      <c r="E61" s="24">
        <v>37.796432495117102</v>
      </c>
      <c r="F61" s="8">
        <v>38</v>
      </c>
      <c r="G61" s="24">
        <v>1.31040219907407E-2</v>
      </c>
      <c r="H61" s="24">
        <v>38.905838012695298</v>
      </c>
      <c r="I61" s="9"/>
    </row>
    <row r="62" spans="1:9" ht="15" thickBot="1">
      <c r="A62" s="8"/>
      <c r="B62" s="17"/>
      <c r="C62" s="10">
        <v>45</v>
      </c>
      <c r="D62" s="24">
        <v>9.7753906249999998E-3</v>
      </c>
      <c r="E62" s="24">
        <v>36.653110504150298</v>
      </c>
      <c r="F62" s="10">
        <v>45</v>
      </c>
      <c r="G62" s="24">
        <v>9.4505931712962898E-3</v>
      </c>
      <c r="H62" s="24">
        <v>37.941993713378899</v>
      </c>
      <c r="I62" s="2"/>
    </row>
    <row r="63" spans="1:9">
      <c r="A63" s="8"/>
      <c r="B63" s="15" t="s">
        <v>21</v>
      </c>
      <c r="C63" s="6">
        <v>27</v>
      </c>
      <c r="D63" s="24">
        <v>3.2752097800925903E-2</v>
      </c>
      <c r="E63" s="24">
        <v>39.020072937011697</v>
      </c>
      <c r="F63" s="6">
        <v>27</v>
      </c>
      <c r="G63" s="24">
        <v>2.84045862268518E-2</v>
      </c>
      <c r="H63" s="24">
        <v>39.940261840820298</v>
      </c>
      <c r="I63" s="7">
        <f>bdrate($D63:$D66,E63:E66,$G63:$G66,H63:H66)</f>
        <v>-0.45252794262390916</v>
      </c>
    </row>
    <row r="64" spans="1:9">
      <c r="A64" s="8"/>
      <c r="B64" s="16"/>
      <c r="C64" s="8">
        <v>32</v>
      </c>
      <c r="D64" s="24">
        <v>2.1720196759259201E-2</v>
      </c>
      <c r="E64" s="24">
        <v>38.345558166503899</v>
      </c>
      <c r="F64" s="8">
        <v>32</v>
      </c>
      <c r="G64" s="24">
        <v>1.96849681712962E-2</v>
      </c>
      <c r="H64" s="24">
        <v>39.480194091796797</v>
      </c>
      <c r="I64" s="9"/>
    </row>
    <row r="65" spans="1:9">
      <c r="A65" s="8"/>
      <c r="B65" s="16"/>
      <c r="C65" s="8">
        <v>38</v>
      </c>
      <c r="D65" s="24">
        <v>1.56731047453703E-2</v>
      </c>
      <c r="E65" s="24">
        <v>37.61669921875</v>
      </c>
      <c r="F65" s="8">
        <v>38</v>
      </c>
      <c r="G65" s="24">
        <v>1.45782696759259E-2</v>
      </c>
      <c r="H65" s="24">
        <v>38.877201080322202</v>
      </c>
      <c r="I65" s="9"/>
    </row>
    <row r="66" spans="1:9" ht="15" thickBot="1">
      <c r="A66" s="8"/>
      <c r="B66" s="17"/>
      <c r="C66" s="10">
        <v>45</v>
      </c>
      <c r="D66" s="24">
        <v>1.09653501157407E-2</v>
      </c>
      <c r="E66" s="24">
        <v>36.334205627441399</v>
      </c>
      <c r="F66" s="10">
        <v>45</v>
      </c>
      <c r="G66" s="24">
        <v>1.04817708333333E-2</v>
      </c>
      <c r="H66" s="24">
        <v>37.781734466552699</v>
      </c>
      <c r="I66" s="2"/>
    </row>
    <row r="67" spans="1:9" ht="15" thickBot="1">
      <c r="A67" s="11"/>
      <c r="B67" s="4" t="s">
        <v>2</v>
      </c>
      <c r="C67" s="18"/>
      <c r="D67" s="11"/>
      <c r="E67" s="18"/>
      <c r="F67" s="18"/>
      <c r="G67" s="11"/>
      <c r="H67" s="18"/>
      <c r="I67" s="19">
        <f>AVERAGE(I3:I66)</f>
        <v>-0.29223278713752615</v>
      </c>
    </row>
    <row r="68" spans="1:9">
      <c r="A68" s="9"/>
      <c r="B68" s="8" t="s">
        <v>4</v>
      </c>
      <c r="C68" s="1"/>
      <c r="D68" s="1"/>
      <c r="E68" s="1"/>
      <c r="F68" s="1"/>
      <c r="G68" s="9"/>
      <c r="H68" s="1"/>
      <c r="I68" s="23">
        <f>AVERAGE(I3:I22)</f>
        <v>-0.23440991757691884</v>
      </c>
    </row>
    <row r="69" spans="1:9">
      <c r="A69" s="12"/>
      <c r="B69" s="12" t="s">
        <v>6</v>
      </c>
      <c r="C69" s="12"/>
      <c r="D69" s="12"/>
      <c r="E69" s="12"/>
      <c r="F69" s="12"/>
      <c r="G69" s="12"/>
      <c r="H69" s="12"/>
      <c r="I69" s="23">
        <f>AVERAGE(I23:I38)</f>
        <v>-0.22991486134744216</v>
      </c>
    </row>
    <row r="70" spans="1:9">
      <c r="A70" s="12"/>
      <c r="B70" s="12" t="s">
        <v>8</v>
      </c>
      <c r="C70" s="12"/>
      <c r="D70" s="12"/>
      <c r="E70" s="12"/>
      <c r="F70" s="12"/>
      <c r="G70" s="12"/>
      <c r="H70" s="12"/>
      <c r="I70" s="23">
        <f>AVERAGE(I39:I54)</f>
        <v>-0.3238917020981853</v>
      </c>
    </row>
    <row r="71" spans="1:9">
      <c r="A71" s="12"/>
      <c r="B71" s="12" t="s">
        <v>10</v>
      </c>
      <c r="C71" s="12"/>
      <c r="D71" s="12"/>
      <c r="E71" s="12"/>
      <c r="F71" s="12"/>
      <c r="G71" s="12"/>
      <c r="H71" s="12"/>
      <c r="I71" s="23">
        <f>AVERAGE(I55:I66)</f>
        <v>-0.42948291751110501</v>
      </c>
    </row>
    <row r="72" spans="1:9" ht="15" thickBot="1">
      <c r="A72" s="12"/>
      <c r="B72" s="12"/>
      <c r="C72" s="12"/>
      <c r="D72" s="12"/>
      <c r="E72" s="12"/>
      <c r="F72" s="12"/>
      <c r="G72" s="12"/>
      <c r="H72" s="12"/>
    </row>
    <row r="73" spans="1:9">
      <c r="A73" s="12"/>
      <c r="B73" s="12" t="s">
        <v>4</v>
      </c>
      <c r="C73" s="12"/>
      <c r="D73" s="12">
        <f>AVERAGE(D3,D7,D11,D15,D19)</f>
        <v>0.15200318287036979</v>
      </c>
      <c r="E73" s="12">
        <f>AVERAGE(E3,E7,E11,E15,E19)</f>
        <v>35.325170135497999</v>
      </c>
      <c r="F73" s="12"/>
      <c r="G73" s="12">
        <f>AVERAGE(G3,G7,G11,G15,G19)</f>
        <v>0.1413018261316866</v>
      </c>
      <c r="H73" s="12">
        <f>AVERAGE(H3,H7,H11,H15,H19)</f>
        <v>35.5995468139648</v>
      </c>
      <c r="I73" s="7">
        <f>bdrate($D73:$D76,E73:E76,$G73:$G76,H73:H76)</f>
        <v>-0.25042658744811497</v>
      </c>
    </row>
    <row r="74" spans="1:9">
      <c r="A74" s="12"/>
      <c r="B74" s="12"/>
      <c r="C74" s="12"/>
      <c r="D74" s="12">
        <f t="shared" ref="D74:E76" si="0">AVERAGE(D4,D8,D12,D16,D20)</f>
        <v>9.3765496399176834E-2</v>
      </c>
      <c r="E74" s="12">
        <f t="shared" si="0"/>
        <v>34.540579223632754</v>
      </c>
      <c r="F74" s="12"/>
      <c r="G74" s="12">
        <f t="shared" ref="G74:H76" si="1">AVERAGE(G4,G8,G12,G16,G20)</f>
        <v>8.8511316872427942E-2</v>
      </c>
      <c r="H74" s="12">
        <f t="shared" si="1"/>
        <v>34.960527801513621</v>
      </c>
    </row>
    <row r="75" spans="1:9">
      <c r="A75" s="12"/>
      <c r="B75" s="12"/>
      <c r="C75" s="12"/>
      <c r="D75" s="12">
        <f t="shared" si="0"/>
        <v>6.1649369855967043E-2</v>
      </c>
      <c r="E75" s="12">
        <f t="shared" si="0"/>
        <v>33.718069458007761</v>
      </c>
      <c r="F75" s="12"/>
      <c r="G75" s="12">
        <f t="shared" si="1"/>
        <v>5.9721675668724217E-2</v>
      </c>
      <c r="H75" s="12">
        <f t="shared" si="1"/>
        <v>34.253295135498</v>
      </c>
    </row>
    <row r="76" spans="1:9" ht="15" thickBot="1">
      <c r="A76" s="12"/>
      <c r="B76" s="12"/>
      <c r="C76" s="12"/>
      <c r="D76" s="12">
        <f t="shared" si="0"/>
        <v>3.6967174639917659E-2</v>
      </c>
      <c r="E76" s="12">
        <f t="shared" si="0"/>
        <v>32.476005554199176</v>
      </c>
      <c r="F76" s="12"/>
      <c r="G76" s="12">
        <f t="shared" si="1"/>
        <v>3.6948849022633692E-2</v>
      </c>
      <c r="H76" s="12">
        <f t="shared" si="1"/>
        <v>33.116880798339814</v>
      </c>
    </row>
    <row r="77" spans="1:9">
      <c r="A77" s="12"/>
      <c r="B77" s="12" t="s">
        <v>6</v>
      </c>
      <c r="C77" s="12"/>
      <c r="D77" s="12">
        <f>AVERAGE(D23,D27,D31,D35)</f>
        <v>0.30043694911858926</v>
      </c>
      <c r="E77" s="12">
        <f>AVERAGE(E23,E27,E31,E35)</f>
        <v>33.600351333618121</v>
      </c>
      <c r="F77" s="12"/>
      <c r="G77" s="12">
        <f>AVERAGE(G23,G27,G31,G35)</f>
        <v>0.29467731703525601</v>
      </c>
      <c r="H77" s="12">
        <f>AVERAGE(H23,H27,H31,H35)</f>
        <v>34.209565163178674</v>
      </c>
      <c r="I77" s="7">
        <f>bdrate($D77:$D80,E77:E80,$G77:$G80,H77:H80)</f>
        <v>-0.2698967140778088</v>
      </c>
    </row>
    <row r="78" spans="1:9">
      <c r="A78" s="12"/>
      <c r="B78" s="12"/>
      <c r="C78" s="12"/>
      <c r="D78" s="12">
        <f t="shared" ref="D78:E80" si="2">AVERAGE(D24,D28,D32,D36)</f>
        <v>0.20401600894764899</v>
      </c>
      <c r="E78" s="12">
        <f t="shared" si="2"/>
        <v>32.648040771484354</v>
      </c>
      <c r="F78" s="12"/>
      <c r="G78" s="12">
        <f t="shared" ref="G78:H80" si="3">AVERAGE(G24,G28,G32,G36)</f>
        <v>0.19917033914423049</v>
      </c>
      <c r="H78" s="12">
        <f t="shared" si="3"/>
        <v>33.393167496403748</v>
      </c>
    </row>
    <row r="79" spans="1:9">
      <c r="D79" s="12">
        <f t="shared" si="2"/>
        <v>0.13733577891292692</v>
      </c>
      <c r="E79" s="12">
        <f t="shared" si="2"/>
        <v>31.573012828826872</v>
      </c>
      <c r="G79" s="12">
        <f t="shared" si="3"/>
        <v>0.13604767636378173</v>
      </c>
      <c r="H79" s="12">
        <f t="shared" si="3"/>
        <v>32.429008960140351</v>
      </c>
    </row>
    <row r="80" spans="1:9" ht="15" thickBot="1">
      <c r="D80" s="12">
        <f t="shared" si="2"/>
        <v>8.18307208199784E-2</v>
      </c>
      <c r="E80" s="12">
        <f t="shared" si="2"/>
        <v>29.982616424560497</v>
      </c>
      <c r="G80" s="12">
        <f t="shared" si="3"/>
        <v>8.3423477548076871E-2</v>
      </c>
      <c r="H80" s="12">
        <f t="shared" si="3"/>
        <v>30.949691294682573</v>
      </c>
    </row>
    <row r="81" spans="2:9">
      <c r="B81" t="s">
        <v>8</v>
      </c>
      <c r="D81" s="12">
        <f>AVERAGE(D39,D43,D47,D51)</f>
        <v>0.30223273904914472</v>
      </c>
      <c r="E81" s="12">
        <f>AVERAGE(E39,E43,E47,E51)</f>
        <v>33.981930732726994</v>
      </c>
      <c r="G81" s="12">
        <f>AVERAGE(G39,G43,G47,G51)</f>
        <v>0.26779346955128147</v>
      </c>
      <c r="H81" s="12">
        <f>AVERAGE(H39,H43,H47,H51)</f>
        <v>34.728092193603473</v>
      </c>
      <c r="I81" s="7">
        <f>bdrate($D81:$D84,E81:E84,$G81:$G84,H81:H84)</f>
        <v>-0.35002127560901375</v>
      </c>
    </row>
    <row r="82" spans="2:9">
      <c r="D82" s="12">
        <f t="shared" ref="D82:E84" si="4">AVERAGE(D40,D44,D48,D52)</f>
        <v>0.2051357171474355</v>
      </c>
      <c r="E82" s="12">
        <f t="shared" si="4"/>
        <v>32.800608158111523</v>
      </c>
      <c r="G82" s="12">
        <f t="shared" ref="G82:H84" si="5">AVERAGE(G40,G44,G48,G52)</f>
        <v>0.18137770432692274</v>
      </c>
      <c r="H82" s="12">
        <f t="shared" si="5"/>
        <v>33.73245334625237</v>
      </c>
    </row>
    <row r="83" spans="2:9">
      <c r="D83" s="12">
        <f t="shared" si="4"/>
        <v>0.13919688167735006</v>
      </c>
      <c r="E83" s="12">
        <f t="shared" si="4"/>
        <v>31.512354373931824</v>
      </c>
      <c r="G83" s="12">
        <f t="shared" si="5"/>
        <v>0.1250575921474357</v>
      </c>
      <c r="H83" s="12">
        <f t="shared" si="5"/>
        <v>32.607705593109074</v>
      </c>
    </row>
    <row r="84" spans="2:9" ht="15" thickBot="1">
      <c r="D84" s="12">
        <f t="shared" si="4"/>
        <v>8.2825854700854504E-2</v>
      </c>
      <c r="E84" s="12">
        <f t="shared" si="4"/>
        <v>29.661647796630824</v>
      </c>
      <c r="G84" s="12">
        <f t="shared" si="5"/>
        <v>7.7660089476495525E-2</v>
      </c>
      <c r="H84" s="12">
        <f t="shared" si="5"/>
        <v>30.944104194641078</v>
      </c>
    </row>
    <row r="85" spans="2:9">
      <c r="B85" t="s">
        <v>10</v>
      </c>
      <c r="D85" s="12">
        <f>AVERAGE(D55,D59,D63)</f>
        <v>3.3125964506172799E-2</v>
      </c>
      <c r="E85" s="12">
        <f>AVERAGE(E55,E59,E63)</f>
        <v>38.855997721354129</v>
      </c>
      <c r="G85" s="12">
        <f>AVERAGE(G55,G59,G63)</f>
        <v>2.9319661458333268E-2</v>
      </c>
      <c r="H85" s="12">
        <f>AVERAGE(H55,H59,H63)</f>
        <v>39.742258707682268</v>
      </c>
      <c r="I85" s="7">
        <f>bdrate($D85:$D88,E85:E88,$G85:$G88,H85:H88)</f>
        <v>-0.42671422388219016</v>
      </c>
    </row>
    <row r="86" spans="2:9">
      <c r="D86" s="12">
        <f t="shared" ref="D86:E88" si="6">AVERAGE(D56,D60,D64)</f>
        <v>2.2436824845678965E-2</v>
      </c>
      <c r="E86" s="12">
        <f t="shared" si="6"/>
        <v>38.241784413655573</v>
      </c>
      <c r="G86" s="12">
        <f t="shared" ref="G86:H88" si="7">AVERAGE(G56,G60,G64)</f>
        <v>2.0591724537036966E-2</v>
      </c>
      <c r="H86" s="12">
        <f t="shared" si="7"/>
        <v>39.303728739420499</v>
      </c>
    </row>
    <row r="87" spans="2:9">
      <c r="D87" s="12">
        <f t="shared" si="6"/>
        <v>1.6360074266975232E-2</v>
      </c>
      <c r="E87" s="12">
        <f t="shared" si="6"/>
        <v>37.539377848307232</v>
      </c>
      <c r="G87" s="12">
        <f t="shared" si="7"/>
        <v>1.53333574459876E-2</v>
      </c>
      <c r="H87" s="12">
        <f t="shared" si="7"/>
        <v>38.716430664062472</v>
      </c>
    </row>
    <row r="88" spans="2:9">
      <c r="D88" s="12">
        <f t="shared" si="6"/>
        <v>1.1481360918209832E-2</v>
      </c>
      <c r="E88" s="12">
        <f t="shared" si="6"/>
        <v>36.235242207845005</v>
      </c>
      <c r="G88" s="12">
        <f t="shared" si="7"/>
        <v>1.0988377700617264E-2</v>
      </c>
      <c r="H88" s="12">
        <f t="shared" si="7"/>
        <v>37.609067281087199</v>
      </c>
    </row>
  </sheetData>
  <mergeCells count="2">
    <mergeCell ref="D1:E1"/>
    <mergeCell ref="G1:H1"/>
  </mergeCells>
  <phoneticPr fontId="1" type="noConversion"/>
  <conditionalFormatting sqref="I67">
    <cfRule type="cellIs" dxfId="3309" priority="345" operator="greaterThan">
      <formula>0.03</formula>
    </cfRule>
    <cfRule type="cellIs" dxfId="3308" priority="346" stopIfTrue="1" operator="lessThan">
      <formula>-0.03</formula>
    </cfRule>
  </conditionalFormatting>
  <conditionalFormatting sqref="I67">
    <cfRule type="cellIs" dxfId="3307" priority="343" operator="greaterThan">
      <formula>0.03</formula>
    </cfRule>
    <cfRule type="cellIs" dxfId="3306" priority="344" stopIfTrue="1" operator="lessThan">
      <formula>-0.03</formula>
    </cfRule>
  </conditionalFormatting>
  <conditionalFormatting sqref="I67">
    <cfRule type="cellIs" dxfId="3305" priority="341" operator="greaterThan">
      <formula>0.03</formula>
    </cfRule>
    <cfRule type="cellIs" dxfId="3304" priority="342" stopIfTrue="1" operator="lessThan">
      <formula>-0.03</formula>
    </cfRule>
  </conditionalFormatting>
  <conditionalFormatting sqref="I67">
    <cfRule type="cellIs" dxfId="3303" priority="349" operator="greaterThan">
      <formula>0.03</formula>
    </cfRule>
    <cfRule type="cellIs" dxfId="3302" priority="350" stopIfTrue="1" operator="lessThan">
      <formula>-0.03</formula>
    </cfRule>
  </conditionalFormatting>
  <conditionalFormatting sqref="I67">
    <cfRule type="cellIs" dxfId="3301" priority="347" operator="greaterThan">
      <formula>0.03</formula>
    </cfRule>
    <cfRule type="cellIs" dxfId="3300" priority="348" stopIfTrue="1" operator="lessThan">
      <formula>-0.03</formula>
    </cfRule>
  </conditionalFormatting>
  <conditionalFormatting sqref="I12:I14 I16:I18">
    <cfRule type="cellIs" dxfId="3299" priority="329" operator="greaterThan">
      <formula>0.03</formula>
    </cfRule>
    <cfRule type="cellIs" dxfId="3298" priority="330" stopIfTrue="1" operator="lessThan">
      <formula>-0.03</formula>
    </cfRule>
  </conditionalFormatting>
  <conditionalFormatting sqref="I12:I14 I16:I18">
    <cfRule type="cellIs" dxfId="3297" priority="327" operator="greaterThan">
      <formula>0.03</formula>
    </cfRule>
    <cfRule type="cellIs" dxfId="3296" priority="328" stopIfTrue="1" operator="lessThan">
      <formula>-0.03</formula>
    </cfRule>
  </conditionalFormatting>
  <conditionalFormatting sqref="I28:I30">
    <cfRule type="cellIs" dxfId="3295" priority="299" operator="greaterThan">
      <formula>0.03</formula>
    </cfRule>
    <cfRule type="cellIs" dxfId="3294" priority="300" stopIfTrue="1" operator="lessThan">
      <formula>-0.03</formula>
    </cfRule>
  </conditionalFormatting>
  <conditionalFormatting sqref="I28:I30">
    <cfRule type="cellIs" dxfId="3293" priority="297" operator="greaterThan">
      <formula>0.03</formula>
    </cfRule>
    <cfRule type="cellIs" dxfId="3292" priority="298" stopIfTrue="1" operator="lessThan">
      <formula>-0.03</formula>
    </cfRule>
  </conditionalFormatting>
  <conditionalFormatting sqref="I28:I30">
    <cfRule type="cellIs" dxfId="3291" priority="295" operator="greaterThan">
      <formula>0.03</formula>
    </cfRule>
    <cfRule type="cellIs" dxfId="3290" priority="296" stopIfTrue="1" operator="lessThan">
      <formula>-0.03</formula>
    </cfRule>
  </conditionalFormatting>
  <conditionalFormatting sqref="I28:I30">
    <cfRule type="cellIs" dxfId="3289" priority="293" operator="greaterThan">
      <formula>0.03</formula>
    </cfRule>
    <cfRule type="cellIs" dxfId="3288" priority="294" stopIfTrue="1" operator="lessThan">
      <formula>-0.03</formula>
    </cfRule>
  </conditionalFormatting>
  <conditionalFormatting sqref="I28:I30">
    <cfRule type="cellIs" dxfId="3287" priority="291" operator="greaterThan">
      <formula>0.03</formula>
    </cfRule>
    <cfRule type="cellIs" dxfId="3286" priority="292" stopIfTrue="1" operator="lessThan">
      <formula>-0.03</formula>
    </cfRule>
  </conditionalFormatting>
  <conditionalFormatting sqref="I20:I22">
    <cfRule type="cellIs" dxfId="3285" priority="335" operator="greaterThan">
      <formula>0.03</formula>
    </cfRule>
    <cfRule type="cellIs" dxfId="3284" priority="336" stopIfTrue="1" operator="lessThan">
      <formula>-0.03</formula>
    </cfRule>
  </conditionalFormatting>
  <conditionalFormatting sqref="I19">
    <cfRule type="cellIs" dxfId="3283" priority="309" operator="greaterThan">
      <formula>0.03</formula>
    </cfRule>
    <cfRule type="cellIs" dxfId="3282" priority="310" stopIfTrue="1" operator="lessThan">
      <formula>-0.03</formula>
    </cfRule>
  </conditionalFormatting>
  <conditionalFormatting sqref="I19">
    <cfRule type="cellIs" dxfId="3281" priority="307" operator="greaterThan">
      <formula>0.03</formula>
    </cfRule>
    <cfRule type="cellIs" dxfId="3280" priority="308" stopIfTrue="1" operator="lessThan">
      <formula>-0.03</formula>
    </cfRule>
  </conditionalFormatting>
  <conditionalFormatting sqref="I19">
    <cfRule type="cellIs" dxfId="3279" priority="305" operator="greaterThan">
      <formula>0.03</formula>
    </cfRule>
    <cfRule type="cellIs" dxfId="3278" priority="306" stopIfTrue="1" operator="lessThan">
      <formula>-0.03</formula>
    </cfRule>
  </conditionalFormatting>
  <conditionalFormatting sqref="I19">
    <cfRule type="cellIs" dxfId="3277" priority="303" operator="greaterThan">
      <formula>0.03</formula>
    </cfRule>
    <cfRule type="cellIs" dxfId="3276" priority="304" stopIfTrue="1" operator="lessThan">
      <formula>-0.03</formula>
    </cfRule>
  </conditionalFormatting>
  <conditionalFormatting sqref="I19">
    <cfRule type="cellIs" dxfId="3275" priority="301" operator="greaterThan">
      <formula>0.03</formula>
    </cfRule>
    <cfRule type="cellIs" dxfId="3274" priority="302" stopIfTrue="1" operator="lessThan">
      <formula>-0.03</formula>
    </cfRule>
  </conditionalFormatting>
  <conditionalFormatting sqref="I20:I22">
    <cfRule type="cellIs" dxfId="3273" priority="339" operator="greaterThan">
      <formula>0.03</formula>
    </cfRule>
    <cfRule type="cellIs" dxfId="3272" priority="340" stopIfTrue="1" operator="lessThan">
      <formula>-0.03</formula>
    </cfRule>
  </conditionalFormatting>
  <conditionalFormatting sqref="I20:I22">
    <cfRule type="cellIs" dxfId="3271" priority="337" operator="greaterThan">
      <formula>0.03</formula>
    </cfRule>
    <cfRule type="cellIs" dxfId="3270" priority="338" stopIfTrue="1" operator="lessThan">
      <formula>-0.03</formula>
    </cfRule>
  </conditionalFormatting>
  <conditionalFormatting sqref="I12:I14 I16:I18">
    <cfRule type="cellIs" dxfId="3269" priority="325" operator="greaterThan">
      <formula>0.03</formula>
    </cfRule>
    <cfRule type="cellIs" dxfId="3268" priority="326" stopIfTrue="1" operator="lessThan">
      <formula>-0.03</formula>
    </cfRule>
  </conditionalFormatting>
  <conditionalFormatting sqref="I20:I22">
    <cfRule type="cellIs" dxfId="3267" priority="333" operator="greaterThan">
      <formula>0.03</formula>
    </cfRule>
    <cfRule type="cellIs" dxfId="3266" priority="334" stopIfTrue="1" operator="lessThan">
      <formula>-0.03</formula>
    </cfRule>
  </conditionalFormatting>
  <conditionalFormatting sqref="I20:I22">
    <cfRule type="cellIs" dxfId="3265" priority="331" operator="greaterThan">
      <formula>0.03</formula>
    </cfRule>
    <cfRule type="cellIs" dxfId="3264" priority="332" stopIfTrue="1" operator="lessThan">
      <formula>-0.03</formula>
    </cfRule>
  </conditionalFormatting>
  <conditionalFormatting sqref="I12:I14 I16:I18">
    <cfRule type="cellIs" dxfId="3263" priority="321" operator="greaterThan">
      <formula>0.03</formula>
    </cfRule>
    <cfRule type="cellIs" dxfId="3262" priority="322" stopIfTrue="1" operator="lessThan">
      <formula>-0.03</formula>
    </cfRule>
  </conditionalFormatting>
  <conditionalFormatting sqref="I12:I14 I16:I18">
    <cfRule type="cellIs" dxfId="3261" priority="323" operator="greaterThan">
      <formula>0.03</formula>
    </cfRule>
    <cfRule type="cellIs" dxfId="3260" priority="324" stopIfTrue="1" operator="lessThan">
      <formula>-0.03</formula>
    </cfRule>
  </conditionalFormatting>
  <conditionalFormatting sqref="I11">
    <cfRule type="cellIs" dxfId="3259" priority="319" operator="greaterThan">
      <formula>0.03</formula>
    </cfRule>
    <cfRule type="cellIs" dxfId="3258" priority="320" stopIfTrue="1" operator="lessThan">
      <formula>-0.03</formula>
    </cfRule>
  </conditionalFormatting>
  <conditionalFormatting sqref="I11">
    <cfRule type="cellIs" dxfId="3257" priority="317" operator="greaterThan">
      <formula>0.03</formula>
    </cfRule>
    <cfRule type="cellIs" dxfId="3256" priority="318" stopIfTrue="1" operator="lessThan">
      <formula>-0.03</formula>
    </cfRule>
  </conditionalFormatting>
  <conditionalFormatting sqref="I11">
    <cfRule type="cellIs" dxfId="3255" priority="315" operator="greaterThan">
      <formula>0.03</formula>
    </cfRule>
    <cfRule type="cellIs" dxfId="3254" priority="316" stopIfTrue="1" operator="lessThan">
      <formula>-0.03</formula>
    </cfRule>
  </conditionalFormatting>
  <conditionalFormatting sqref="I11">
    <cfRule type="cellIs" dxfId="3253" priority="313" operator="greaterThan">
      <formula>0.03</formula>
    </cfRule>
    <cfRule type="cellIs" dxfId="3252" priority="314" stopIfTrue="1" operator="lessThan">
      <formula>-0.03</formula>
    </cfRule>
  </conditionalFormatting>
  <conditionalFormatting sqref="I11">
    <cfRule type="cellIs" dxfId="3251" priority="311" operator="greaterThan">
      <formula>0.03</formula>
    </cfRule>
    <cfRule type="cellIs" dxfId="3250" priority="312" stopIfTrue="1" operator="lessThan">
      <formula>-0.03</formula>
    </cfRule>
  </conditionalFormatting>
  <conditionalFormatting sqref="I24:I26">
    <cfRule type="cellIs" dxfId="3249" priority="289" operator="greaterThan">
      <formula>0.03</formula>
    </cfRule>
    <cfRule type="cellIs" dxfId="3248" priority="290" stopIfTrue="1" operator="lessThan">
      <formula>-0.03</formula>
    </cfRule>
  </conditionalFormatting>
  <conditionalFormatting sqref="I24:I26">
    <cfRule type="cellIs" dxfId="3247" priority="287" operator="greaterThan">
      <formula>0.03</formula>
    </cfRule>
    <cfRule type="cellIs" dxfId="3246" priority="288" stopIfTrue="1" operator="lessThan">
      <formula>-0.03</formula>
    </cfRule>
  </conditionalFormatting>
  <conditionalFormatting sqref="I27">
    <cfRule type="cellIs" dxfId="3245" priority="269" operator="greaterThan">
      <formula>0.03</formula>
    </cfRule>
    <cfRule type="cellIs" dxfId="3244" priority="270" stopIfTrue="1" operator="lessThan">
      <formula>-0.03</formula>
    </cfRule>
  </conditionalFormatting>
  <conditionalFormatting sqref="I27">
    <cfRule type="cellIs" dxfId="3243" priority="267" operator="greaterThan">
      <formula>0.03</formula>
    </cfRule>
    <cfRule type="cellIs" dxfId="3242" priority="268" stopIfTrue="1" operator="lessThan">
      <formula>-0.03</formula>
    </cfRule>
  </conditionalFormatting>
  <conditionalFormatting sqref="I27">
    <cfRule type="cellIs" dxfId="3241" priority="265" operator="greaterThan">
      <formula>0.03</formula>
    </cfRule>
    <cfRule type="cellIs" dxfId="3240" priority="266" stopIfTrue="1" operator="lessThan">
      <formula>-0.03</formula>
    </cfRule>
  </conditionalFormatting>
  <conditionalFormatting sqref="I27">
    <cfRule type="cellIs" dxfId="3239" priority="263" operator="greaterThan">
      <formula>0.03</formula>
    </cfRule>
    <cfRule type="cellIs" dxfId="3238" priority="264" stopIfTrue="1" operator="lessThan">
      <formula>-0.03</formula>
    </cfRule>
  </conditionalFormatting>
  <conditionalFormatting sqref="I27">
    <cfRule type="cellIs" dxfId="3237" priority="261" operator="greaterThan">
      <formula>0.03</formula>
    </cfRule>
    <cfRule type="cellIs" dxfId="3236" priority="262" stopIfTrue="1" operator="lessThan">
      <formula>-0.03</formula>
    </cfRule>
  </conditionalFormatting>
  <conditionalFormatting sqref="I24:I26">
    <cfRule type="cellIs" dxfId="3235" priority="285" operator="greaterThan">
      <formula>0.03</formula>
    </cfRule>
    <cfRule type="cellIs" dxfId="3234" priority="286" stopIfTrue="1" operator="lessThan">
      <formula>-0.03</formula>
    </cfRule>
  </conditionalFormatting>
  <conditionalFormatting sqref="I24:I26">
    <cfRule type="cellIs" dxfId="3233" priority="281" operator="greaterThan">
      <formula>0.03</formula>
    </cfRule>
    <cfRule type="cellIs" dxfId="3232" priority="282" stopIfTrue="1" operator="lessThan">
      <formula>-0.03</formula>
    </cfRule>
  </conditionalFormatting>
  <conditionalFormatting sqref="I24:I26">
    <cfRule type="cellIs" dxfId="3231" priority="283" operator="greaterThan">
      <formula>0.03</formula>
    </cfRule>
    <cfRule type="cellIs" dxfId="3230" priority="284" stopIfTrue="1" operator="lessThan">
      <formula>-0.03</formula>
    </cfRule>
  </conditionalFormatting>
  <conditionalFormatting sqref="I23">
    <cfRule type="cellIs" dxfId="3229" priority="279" operator="greaterThan">
      <formula>0.03</formula>
    </cfRule>
    <cfRule type="cellIs" dxfId="3228" priority="280" stopIfTrue="1" operator="lessThan">
      <formula>-0.03</formula>
    </cfRule>
  </conditionalFormatting>
  <conditionalFormatting sqref="I23">
    <cfRule type="cellIs" dxfId="3227" priority="277" operator="greaterThan">
      <formula>0.03</formula>
    </cfRule>
    <cfRule type="cellIs" dxfId="3226" priority="278" stopIfTrue="1" operator="lessThan">
      <formula>-0.03</formula>
    </cfRule>
  </conditionalFormatting>
  <conditionalFormatting sqref="I23">
    <cfRule type="cellIs" dxfId="3225" priority="275" operator="greaterThan">
      <formula>0.03</formula>
    </cfRule>
    <cfRule type="cellIs" dxfId="3224" priority="276" stopIfTrue="1" operator="lessThan">
      <formula>-0.03</formula>
    </cfRule>
  </conditionalFormatting>
  <conditionalFormatting sqref="I23">
    <cfRule type="cellIs" dxfId="3223" priority="273" operator="greaterThan">
      <formula>0.03</formula>
    </cfRule>
    <cfRule type="cellIs" dxfId="3222" priority="274" stopIfTrue="1" operator="lessThan">
      <formula>-0.03</formula>
    </cfRule>
  </conditionalFormatting>
  <conditionalFormatting sqref="I23">
    <cfRule type="cellIs" dxfId="3221" priority="271" operator="greaterThan">
      <formula>0.03</formula>
    </cfRule>
    <cfRule type="cellIs" dxfId="3220" priority="272" stopIfTrue="1" operator="lessThan">
      <formula>-0.03</formula>
    </cfRule>
  </conditionalFormatting>
  <conditionalFormatting sqref="I44:I46">
    <cfRule type="cellIs" dxfId="3219" priority="259" operator="greaterThan">
      <formula>0.03</formula>
    </cfRule>
    <cfRule type="cellIs" dxfId="3218" priority="260" stopIfTrue="1" operator="lessThan">
      <formula>-0.03</formula>
    </cfRule>
  </conditionalFormatting>
  <conditionalFormatting sqref="I44:I46">
    <cfRule type="cellIs" dxfId="3217" priority="257" operator="greaterThan">
      <formula>0.03</formula>
    </cfRule>
    <cfRule type="cellIs" dxfId="3216" priority="258" stopIfTrue="1" operator="lessThan">
      <formula>-0.03</formula>
    </cfRule>
  </conditionalFormatting>
  <conditionalFormatting sqref="I44:I46">
    <cfRule type="cellIs" dxfId="3215" priority="255" operator="greaterThan">
      <formula>0.03</formula>
    </cfRule>
    <cfRule type="cellIs" dxfId="3214" priority="256" stopIfTrue="1" operator="lessThan">
      <formula>-0.03</formula>
    </cfRule>
  </conditionalFormatting>
  <conditionalFormatting sqref="I44:I46">
    <cfRule type="cellIs" dxfId="3213" priority="253" operator="greaterThan">
      <formula>0.03</formula>
    </cfRule>
    <cfRule type="cellIs" dxfId="3212" priority="254" stopIfTrue="1" operator="lessThan">
      <formula>-0.03</formula>
    </cfRule>
  </conditionalFormatting>
  <conditionalFormatting sqref="I44:I46">
    <cfRule type="cellIs" dxfId="3211" priority="251" operator="greaterThan">
      <formula>0.03</formula>
    </cfRule>
    <cfRule type="cellIs" dxfId="3210" priority="252" stopIfTrue="1" operator="lessThan">
      <formula>-0.03</formula>
    </cfRule>
  </conditionalFormatting>
  <conditionalFormatting sqref="I40:I42">
    <cfRule type="cellIs" dxfId="3209" priority="249" operator="greaterThan">
      <formula>0.03</formula>
    </cfRule>
    <cfRule type="cellIs" dxfId="3208" priority="250" stopIfTrue="1" operator="lessThan">
      <formula>-0.03</formula>
    </cfRule>
  </conditionalFormatting>
  <conditionalFormatting sqref="I40:I42">
    <cfRule type="cellIs" dxfId="3207" priority="247" operator="greaterThan">
      <formula>0.03</formula>
    </cfRule>
    <cfRule type="cellIs" dxfId="3206" priority="248" stopIfTrue="1" operator="lessThan">
      <formula>-0.03</formula>
    </cfRule>
  </conditionalFormatting>
  <conditionalFormatting sqref="I43">
    <cfRule type="cellIs" dxfId="3205" priority="229" operator="greaterThan">
      <formula>0.03</formula>
    </cfRule>
    <cfRule type="cellIs" dxfId="3204" priority="230" stopIfTrue="1" operator="lessThan">
      <formula>-0.03</formula>
    </cfRule>
  </conditionalFormatting>
  <conditionalFormatting sqref="I43">
    <cfRule type="cellIs" dxfId="3203" priority="227" operator="greaterThan">
      <formula>0.03</formula>
    </cfRule>
    <cfRule type="cellIs" dxfId="3202" priority="228" stopIfTrue="1" operator="lessThan">
      <formula>-0.03</formula>
    </cfRule>
  </conditionalFormatting>
  <conditionalFormatting sqref="I43">
    <cfRule type="cellIs" dxfId="3201" priority="225" operator="greaterThan">
      <formula>0.03</formula>
    </cfRule>
    <cfRule type="cellIs" dxfId="3200" priority="226" stopIfTrue="1" operator="lessThan">
      <formula>-0.03</formula>
    </cfRule>
  </conditionalFormatting>
  <conditionalFormatting sqref="I43">
    <cfRule type="cellIs" dxfId="3199" priority="223" operator="greaterThan">
      <formula>0.03</formula>
    </cfRule>
    <cfRule type="cellIs" dxfId="3198" priority="224" stopIfTrue="1" operator="lessThan">
      <formula>-0.03</formula>
    </cfRule>
  </conditionalFormatting>
  <conditionalFormatting sqref="I43">
    <cfRule type="cellIs" dxfId="3197" priority="221" operator="greaterThan">
      <formula>0.03</formula>
    </cfRule>
    <cfRule type="cellIs" dxfId="3196" priority="222" stopIfTrue="1" operator="lessThan">
      <formula>-0.03</formula>
    </cfRule>
  </conditionalFormatting>
  <conditionalFormatting sqref="I40:I42">
    <cfRule type="cellIs" dxfId="3195" priority="245" operator="greaterThan">
      <formula>0.03</formula>
    </cfRule>
    <cfRule type="cellIs" dxfId="3194" priority="246" stopIfTrue="1" operator="lessThan">
      <formula>-0.03</formula>
    </cfRule>
  </conditionalFormatting>
  <conditionalFormatting sqref="I40:I42">
    <cfRule type="cellIs" dxfId="3193" priority="241" operator="greaterThan">
      <formula>0.03</formula>
    </cfRule>
    <cfRule type="cellIs" dxfId="3192" priority="242" stopIfTrue="1" operator="lessThan">
      <formula>-0.03</formula>
    </cfRule>
  </conditionalFormatting>
  <conditionalFormatting sqref="I40:I42">
    <cfRule type="cellIs" dxfId="3191" priority="243" operator="greaterThan">
      <formula>0.03</formula>
    </cfRule>
    <cfRule type="cellIs" dxfId="3190" priority="244" stopIfTrue="1" operator="lessThan">
      <formula>-0.03</formula>
    </cfRule>
  </conditionalFormatting>
  <conditionalFormatting sqref="I39">
    <cfRule type="cellIs" dxfId="3189" priority="239" operator="greaterThan">
      <formula>0.03</formula>
    </cfRule>
    <cfRule type="cellIs" dxfId="3188" priority="240" stopIfTrue="1" operator="lessThan">
      <formula>-0.03</formula>
    </cfRule>
  </conditionalFormatting>
  <conditionalFormatting sqref="I39">
    <cfRule type="cellIs" dxfId="3187" priority="237" operator="greaterThan">
      <formula>0.03</formula>
    </cfRule>
    <cfRule type="cellIs" dxfId="3186" priority="238" stopIfTrue="1" operator="lessThan">
      <formula>-0.03</formula>
    </cfRule>
  </conditionalFormatting>
  <conditionalFormatting sqref="I39">
    <cfRule type="cellIs" dxfId="3185" priority="235" operator="greaterThan">
      <formula>0.03</formula>
    </cfRule>
    <cfRule type="cellIs" dxfId="3184" priority="236" stopIfTrue="1" operator="lessThan">
      <formula>-0.03</formula>
    </cfRule>
  </conditionalFormatting>
  <conditionalFormatting sqref="I39">
    <cfRule type="cellIs" dxfId="3183" priority="233" operator="greaterThan">
      <formula>0.03</formula>
    </cfRule>
    <cfRule type="cellIs" dxfId="3182" priority="234" stopIfTrue="1" operator="lessThan">
      <formula>-0.03</formula>
    </cfRule>
  </conditionalFormatting>
  <conditionalFormatting sqref="I39">
    <cfRule type="cellIs" dxfId="3181" priority="231" operator="greaterThan">
      <formula>0.03</formula>
    </cfRule>
    <cfRule type="cellIs" dxfId="3180" priority="232" stopIfTrue="1" operator="lessThan">
      <formula>-0.03</formula>
    </cfRule>
  </conditionalFormatting>
  <conditionalFormatting sqref="I64:I66">
    <cfRule type="cellIs" dxfId="3179" priority="219" operator="greaterThan">
      <formula>0.03</formula>
    </cfRule>
    <cfRule type="cellIs" dxfId="3178" priority="220" stopIfTrue="1" operator="lessThan">
      <formula>-0.03</formula>
    </cfRule>
  </conditionalFormatting>
  <conditionalFormatting sqref="I64:I66">
    <cfRule type="cellIs" dxfId="3177" priority="217" operator="greaterThan">
      <formula>0.03</formula>
    </cfRule>
    <cfRule type="cellIs" dxfId="3176" priority="218" stopIfTrue="1" operator="lessThan">
      <formula>-0.03</formula>
    </cfRule>
  </conditionalFormatting>
  <conditionalFormatting sqref="I64:I66">
    <cfRule type="cellIs" dxfId="3175" priority="215" operator="greaterThan">
      <formula>0.03</formula>
    </cfRule>
    <cfRule type="cellIs" dxfId="3174" priority="216" stopIfTrue="1" operator="lessThan">
      <formula>-0.03</formula>
    </cfRule>
  </conditionalFormatting>
  <conditionalFormatting sqref="I64:I66">
    <cfRule type="cellIs" dxfId="3173" priority="213" operator="greaterThan">
      <formula>0.03</formula>
    </cfRule>
    <cfRule type="cellIs" dxfId="3172" priority="214" stopIfTrue="1" operator="lessThan">
      <formula>-0.03</formula>
    </cfRule>
  </conditionalFormatting>
  <conditionalFormatting sqref="I64:I66">
    <cfRule type="cellIs" dxfId="3171" priority="211" operator="greaterThan">
      <formula>0.03</formula>
    </cfRule>
    <cfRule type="cellIs" dxfId="3170" priority="212" stopIfTrue="1" operator="lessThan">
      <formula>-0.03</formula>
    </cfRule>
  </conditionalFormatting>
  <conditionalFormatting sqref="I56:I58">
    <cfRule type="cellIs" dxfId="3169" priority="209" operator="greaterThan">
      <formula>0.03</formula>
    </cfRule>
    <cfRule type="cellIs" dxfId="3168" priority="210" stopIfTrue="1" operator="lessThan">
      <formula>-0.03</formula>
    </cfRule>
  </conditionalFormatting>
  <conditionalFormatting sqref="I56:I58">
    <cfRule type="cellIs" dxfId="3167" priority="207" operator="greaterThan">
      <formula>0.03</formula>
    </cfRule>
    <cfRule type="cellIs" dxfId="3166" priority="208" stopIfTrue="1" operator="lessThan">
      <formula>-0.03</formula>
    </cfRule>
  </conditionalFormatting>
  <conditionalFormatting sqref="I63">
    <cfRule type="cellIs" dxfId="3165" priority="189" operator="greaterThan">
      <formula>0.03</formula>
    </cfRule>
    <cfRule type="cellIs" dxfId="3164" priority="190" stopIfTrue="1" operator="lessThan">
      <formula>-0.03</formula>
    </cfRule>
  </conditionalFormatting>
  <conditionalFormatting sqref="I63">
    <cfRule type="cellIs" dxfId="3163" priority="187" operator="greaterThan">
      <formula>0.03</formula>
    </cfRule>
    <cfRule type="cellIs" dxfId="3162" priority="188" stopIfTrue="1" operator="lessThan">
      <formula>-0.03</formula>
    </cfRule>
  </conditionalFormatting>
  <conditionalFormatting sqref="I63">
    <cfRule type="cellIs" dxfId="3161" priority="185" operator="greaterThan">
      <formula>0.03</formula>
    </cfRule>
    <cfRule type="cellIs" dxfId="3160" priority="186" stopIfTrue="1" operator="lessThan">
      <formula>-0.03</formula>
    </cfRule>
  </conditionalFormatting>
  <conditionalFormatting sqref="I63">
    <cfRule type="cellIs" dxfId="3159" priority="183" operator="greaterThan">
      <formula>0.03</formula>
    </cfRule>
    <cfRule type="cellIs" dxfId="3158" priority="184" stopIfTrue="1" operator="lessThan">
      <formula>-0.03</formula>
    </cfRule>
  </conditionalFormatting>
  <conditionalFormatting sqref="I63">
    <cfRule type="cellIs" dxfId="3157" priority="181" operator="greaterThan">
      <formula>0.03</formula>
    </cfRule>
    <cfRule type="cellIs" dxfId="3156" priority="182" stopIfTrue="1" operator="lessThan">
      <formula>-0.03</formula>
    </cfRule>
  </conditionalFormatting>
  <conditionalFormatting sqref="I56:I58">
    <cfRule type="cellIs" dxfId="3155" priority="205" operator="greaterThan">
      <formula>0.03</formula>
    </cfRule>
    <cfRule type="cellIs" dxfId="3154" priority="206" stopIfTrue="1" operator="lessThan">
      <formula>-0.03</formula>
    </cfRule>
  </conditionalFormatting>
  <conditionalFormatting sqref="I56:I58">
    <cfRule type="cellIs" dxfId="3153" priority="201" operator="greaterThan">
      <formula>0.03</formula>
    </cfRule>
    <cfRule type="cellIs" dxfId="3152" priority="202" stopIfTrue="1" operator="lessThan">
      <formula>-0.03</formula>
    </cfRule>
  </conditionalFormatting>
  <conditionalFormatting sqref="I56:I58">
    <cfRule type="cellIs" dxfId="3151" priority="203" operator="greaterThan">
      <formula>0.03</formula>
    </cfRule>
    <cfRule type="cellIs" dxfId="3150" priority="204" stopIfTrue="1" operator="lessThan">
      <formula>-0.03</formula>
    </cfRule>
  </conditionalFormatting>
  <conditionalFormatting sqref="I55">
    <cfRule type="cellIs" dxfId="3149" priority="199" operator="greaterThan">
      <formula>0.03</formula>
    </cfRule>
    <cfRule type="cellIs" dxfId="3148" priority="200" stopIfTrue="1" operator="lessThan">
      <formula>-0.03</formula>
    </cfRule>
  </conditionalFormatting>
  <conditionalFormatting sqref="I55">
    <cfRule type="cellIs" dxfId="3147" priority="197" operator="greaterThan">
      <formula>0.03</formula>
    </cfRule>
    <cfRule type="cellIs" dxfId="3146" priority="198" stopIfTrue="1" operator="lessThan">
      <formula>-0.03</formula>
    </cfRule>
  </conditionalFormatting>
  <conditionalFormatting sqref="I55">
    <cfRule type="cellIs" dxfId="3145" priority="195" operator="greaterThan">
      <formula>0.03</formula>
    </cfRule>
    <cfRule type="cellIs" dxfId="3144" priority="196" stopIfTrue="1" operator="lessThan">
      <formula>-0.03</formula>
    </cfRule>
  </conditionalFormatting>
  <conditionalFormatting sqref="I55">
    <cfRule type="cellIs" dxfId="3143" priority="193" operator="greaterThan">
      <formula>0.03</formula>
    </cfRule>
    <cfRule type="cellIs" dxfId="3142" priority="194" stopIfTrue="1" operator="lessThan">
      <formula>-0.03</formula>
    </cfRule>
  </conditionalFormatting>
  <conditionalFormatting sqref="I55">
    <cfRule type="cellIs" dxfId="3141" priority="191" operator="greaterThan">
      <formula>0.03</formula>
    </cfRule>
    <cfRule type="cellIs" dxfId="3140" priority="192" stopIfTrue="1" operator="lessThan">
      <formula>-0.03</formula>
    </cfRule>
  </conditionalFormatting>
  <conditionalFormatting sqref="I36:I38">
    <cfRule type="cellIs" dxfId="3139" priority="179" operator="greaterThan">
      <formula>0.03</formula>
    </cfRule>
    <cfRule type="cellIs" dxfId="3138" priority="180" stopIfTrue="1" operator="lessThan">
      <formula>-0.03</formula>
    </cfRule>
  </conditionalFormatting>
  <conditionalFormatting sqref="I36:I38">
    <cfRule type="cellIs" dxfId="3137" priority="177" operator="greaterThan">
      <formula>0.03</formula>
    </cfRule>
    <cfRule type="cellIs" dxfId="3136" priority="178" stopIfTrue="1" operator="lessThan">
      <formula>-0.03</formula>
    </cfRule>
  </conditionalFormatting>
  <conditionalFormatting sqref="I36:I38">
    <cfRule type="cellIs" dxfId="3135" priority="175" operator="greaterThan">
      <formula>0.03</formula>
    </cfRule>
    <cfRule type="cellIs" dxfId="3134" priority="176" stopIfTrue="1" operator="lessThan">
      <formula>-0.03</formula>
    </cfRule>
  </conditionalFormatting>
  <conditionalFormatting sqref="I36:I38">
    <cfRule type="cellIs" dxfId="3133" priority="173" operator="greaterThan">
      <formula>0.03</formula>
    </cfRule>
    <cfRule type="cellIs" dxfId="3132" priority="174" stopIfTrue="1" operator="lessThan">
      <formula>-0.03</formula>
    </cfRule>
  </conditionalFormatting>
  <conditionalFormatting sqref="I36:I38">
    <cfRule type="cellIs" dxfId="3131" priority="171" operator="greaterThan">
      <formula>0.03</formula>
    </cfRule>
    <cfRule type="cellIs" dxfId="3130" priority="172" stopIfTrue="1" operator="lessThan">
      <formula>-0.03</formula>
    </cfRule>
  </conditionalFormatting>
  <conditionalFormatting sqref="I32:I34">
    <cfRule type="cellIs" dxfId="3129" priority="169" operator="greaterThan">
      <formula>0.03</formula>
    </cfRule>
    <cfRule type="cellIs" dxfId="3128" priority="170" stopIfTrue="1" operator="lessThan">
      <formula>-0.03</formula>
    </cfRule>
  </conditionalFormatting>
  <conditionalFormatting sqref="I32:I34">
    <cfRule type="cellIs" dxfId="3127" priority="167" operator="greaterThan">
      <formula>0.03</formula>
    </cfRule>
    <cfRule type="cellIs" dxfId="3126" priority="168" stopIfTrue="1" operator="lessThan">
      <formula>-0.03</formula>
    </cfRule>
  </conditionalFormatting>
  <conditionalFormatting sqref="I35">
    <cfRule type="cellIs" dxfId="3125" priority="149" operator="greaterThan">
      <formula>0.03</formula>
    </cfRule>
    <cfRule type="cellIs" dxfId="3124" priority="150" stopIfTrue="1" operator="lessThan">
      <formula>-0.03</formula>
    </cfRule>
  </conditionalFormatting>
  <conditionalFormatting sqref="I35">
    <cfRule type="cellIs" dxfId="3123" priority="147" operator="greaterThan">
      <formula>0.03</formula>
    </cfRule>
    <cfRule type="cellIs" dxfId="3122" priority="148" stopIfTrue="1" operator="lessThan">
      <formula>-0.03</formula>
    </cfRule>
  </conditionalFormatting>
  <conditionalFormatting sqref="I35">
    <cfRule type="cellIs" dxfId="3121" priority="145" operator="greaterThan">
      <formula>0.03</formula>
    </cfRule>
    <cfRule type="cellIs" dxfId="3120" priority="146" stopIfTrue="1" operator="lessThan">
      <formula>-0.03</formula>
    </cfRule>
  </conditionalFormatting>
  <conditionalFormatting sqref="I35">
    <cfRule type="cellIs" dxfId="3119" priority="143" operator="greaterThan">
      <formula>0.03</formula>
    </cfRule>
    <cfRule type="cellIs" dxfId="3118" priority="144" stopIfTrue="1" operator="lessThan">
      <formula>-0.03</formula>
    </cfRule>
  </conditionalFormatting>
  <conditionalFormatting sqref="I35">
    <cfRule type="cellIs" dxfId="3117" priority="141" operator="greaterThan">
      <formula>0.03</formula>
    </cfRule>
    <cfRule type="cellIs" dxfId="3116" priority="142" stopIfTrue="1" operator="lessThan">
      <formula>-0.03</formula>
    </cfRule>
  </conditionalFormatting>
  <conditionalFormatting sqref="I32:I34">
    <cfRule type="cellIs" dxfId="3115" priority="165" operator="greaterThan">
      <formula>0.03</formula>
    </cfRule>
    <cfRule type="cellIs" dxfId="3114" priority="166" stopIfTrue="1" operator="lessThan">
      <formula>-0.03</formula>
    </cfRule>
  </conditionalFormatting>
  <conditionalFormatting sqref="I32:I34">
    <cfRule type="cellIs" dxfId="3113" priority="161" operator="greaterThan">
      <formula>0.03</formula>
    </cfRule>
    <cfRule type="cellIs" dxfId="3112" priority="162" stopIfTrue="1" operator="lessThan">
      <formula>-0.03</formula>
    </cfRule>
  </conditionalFormatting>
  <conditionalFormatting sqref="I32:I34">
    <cfRule type="cellIs" dxfId="3111" priority="163" operator="greaterThan">
      <formula>0.03</formula>
    </cfRule>
    <cfRule type="cellIs" dxfId="3110" priority="164" stopIfTrue="1" operator="lessThan">
      <formula>-0.03</formula>
    </cfRule>
  </conditionalFormatting>
  <conditionalFormatting sqref="I31">
    <cfRule type="cellIs" dxfId="3109" priority="159" operator="greaterThan">
      <formula>0.03</formula>
    </cfRule>
    <cfRule type="cellIs" dxfId="3108" priority="160" stopIfTrue="1" operator="lessThan">
      <formula>-0.03</formula>
    </cfRule>
  </conditionalFormatting>
  <conditionalFormatting sqref="I31">
    <cfRule type="cellIs" dxfId="3107" priority="157" operator="greaterThan">
      <formula>0.03</formula>
    </cfRule>
    <cfRule type="cellIs" dxfId="3106" priority="158" stopIfTrue="1" operator="lessThan">
      <formula>-0.03</formula>
    </cfRule>
  </conditionalFormatting>
  <conditionalFormatting sqref="I31">
    <cfRule type="cellIs" dxfId="3105" priority="155" operator="greaterThan">
      <formula>0.03</formula>
    </cfRule>
    <cfRule type="cellIs" dxfId="3104" priority="156" stopIfTrue="1" operator="lessThan">
      <formula>-0.03</formula>
    </cfRule>
  </conditionalFormatting>
  <conditionalFormatting sqref="I31">
    <cfRule type="cellIs" dxfId="3103" priority="153" operator="greaterThan">
      <formula>0.03</formula>
    </cfRule>
    <cfRule type="cellIs" dxfId="3102" priority="154" stopIfTrue="1" operator="lessThan">
      <formula>-0.03</formula>
    </cfRule>
  </conditionalFormatting>
  <conditionalFormatting sqref="I31">
    <cfRule type="cellIs" dxfId="3101" priority="151" operator="greaterThan">
      <formula>0.03</formula>
    </cfRule>
    <cfRule type="cellIs" dxfId="3100" priority="152" stopIfTrue="1" operator="lessThan">
      <formula>-0.03</formula>
    </cfRule>
  </conditionalFormatting>
  <conditionalFormatting sqref="I52:I54">
    <cfRule type="cellIs" dxfId="3099" priority="139" operator="greaterThan">
      <formula>0.03</formula>
    </cfRule>
    <cfRule type="cellIs" dxfId="3098" priority="140" stopIfTrue="1" operator="lessThan">
      <formula>-0.03</formula>
    </cfRule>
  </conditionalFormatting>
  <conditionalFormatting sqref="I52:I54">
    <cfRule type="cellIs" dxfId="3097" priority="137" operator="greaterThan">
      <formula>0.03</formula>
    </cfRule>
    <cfRule type="cellIs" dxfId="3096" priority="138" stopIfTrue="1" operator="lessThan">
      <formula>-0.03</formula>
    </cfRule>
  </conditionalFormatting>
  <conditionalFormatting sqref="I52:I54">
    <cfRule type="cellIs" dxfId="3095" priority="135" operator="greaterThan">
      <formula>0.03</formula>
    </cfRule>
    <cfRule type="cellIs" dxfId="3094" priority="136" stopIfTrue="1" operator="lessThan">
      <formula>-0.03</formula>
    </cfRule>
  </conditionalFormatting>
  <conditionalFormatting sqref="I52:I54">
    <cfRule type="cellIs" dxfId="3093" priority="133" operator="greaterThan">
      <formula>0.03</formula>
    </cfRule>
    <cfRule type="cellIs" dxfId="3092" priority="134" stopIfTrue="1" operator="lessThan">
      <formula>-0.03</formula>
    </cfRule>
  </conditionalFormatting>
  <conditionalFormatting sqref="I52:I54">
    <cfRule type="cellIs" dxfId="3091" priority="131" operator="greaterThan">
      <formula>0.03</formula>
    </cfRule>
    <cfRule type="cellIs" dxfId="3090" priority="132" stopIfTrue="1" operator="lessThan">
      <formula>-0.03</formula>
    </cfRule>
  </conditionalFormatting>
  <conditionalFormatting sqref="I48:I50">
    <cfRule type="cellIs" dxfId="3089" priority="129" operator="greaterThan">
      <formula>0.03</formula>
    </cfRule>
    <cfRule type="cellIs" dxfId="3088" priority="130" stopIfTrue="1" operator="lessThan">
      <formula>-0.03</formula>
    </cfRule>
  </conditionalFormatting>
  <conditionalFormatting sqref="I48:I50">
    <cfRule type="cellIs" dxfId="3087" priority="127" operator="greaterThan">
      <formula>0.03</formula>
    </cfRule>
    <cfRule type="cellIs" dxfId="3086" priority="128" stopIfTrue="1" operator="lessThan">
      <formula>-0.03</formula>
    </cfRule>
  </conditionalFormatting>
  <conditionalFormatting sqref="I51">
    <cfRule type="cellIs" dxfId="3085" priority="109" operator="greaterThan">
      <formula>0.03</formula>
    </cfRule>
    <cfRule type="cellIs" dxfId="3084" priority="110" stopIfTrue="1" operator="lessThan">
      <formula>-0.03</formula>
    </cfRule>
  </conditionalFormatting>
  <conditionalFormatting sqref="I51">
    <cfRule type="cellIs" dxfId="3083" priority="107" operator="greaterThan">
      <formula>0.03</formula>
    </cfRule>
    <cfRule type="cellIs" dxfId="3082" priority="108" stopIfTrue="1" operator="lessThan">
      <formula>-0.03</formula>
    </cfRule>
  </conditionalFormatting>
  <conditionalFormatting sqref="I51">
    <cfRule type="cellIs" dxfId="3081" priority="105" operator="greaterThan">
      <formula>0.03</formula>
    </cfRule>
    <cfRule type="cellIs" dxfId="3080" priority="106" stopIfTrue="1" operator="lessThan">
      <formula>-0.03</formula>
    </cfRule>
  </conditionalFormatting>
  <conditionalFormatting sqref="I51">
    <cfRule type="cellIs" dxfId="3079" priority="103" operator="greaterThan">
      <formula>0.03</formula>
    </cfRule>
    <cfRule type="cellIs" dxfId="3078" priority="104" stopIfTrue="1" operator="lessThan">
      <formula>-0.03</formula>
    </cfRule>
  </conditionalFormatting>
  <conditionalFormatting sqref="I51">
    <cfRule type="cellIs" dxfId="3077" priority="101" operator="greaterThan">
      <formula>0.03</formula>
    </cfRule>
    <cfRule type="cellIs" dxfId="3076" priority="102" stopIfTrue="1" operator="lessThan">
      <formula>-0.03</formula>
    </cfRule>
  </conditionalFormatting>
  <conditionalFormatting sqref="I48:I50">
    <cfRule type="cellIs" dxfId="3075" priority="125" operator="greaterThan">
      <formula>0.03</formula>
    </cfRule>
    <cfRule type="cellIs" dxfId="3074" priority="126" stopIfTrue="1" operator="lessThan">
      <formula>-0.03</formula>
    </cfRule>
  </conditionalFormatting>
  <conditionalFormatting sqref="I48:I50">
    <cfRule type="cellIs" dxfId="3073" priority="121" operator="greaterThan">
      <formula>0.03</formula>
    </cfRule>
    <cfRule type="cellIs" dxfId="3072" priority="122" stopIfTrue="1" operator="lessThan">
      <formula>-0.03</formula>
    </cfRule>
  </conditionalFormatting>
  <conditionalFormatting sqref="I48:I50">
    <cfRule type="cellIs" dxfId="3071" priority="123" operator="greaterThan">
      <formula>0.03</formula>
    </cfRule>
    <cfRule type="cellIs" dxfId="3070" priority="124" stopIfTrue="1" operator="lessThan">
      <formula>-0.03</formula>
    </cfRule>
  </conditionalFormatting>
  <conditionalFormatting sqref="I47">
    <cfRule type="cellIs" dxfId="3069" priority="119" operator="greaterThan">
      <formula>0.03</formula>
    </cfRule>
    <cfRule type="cellIs" dxfId="3068" priority="120" stopIfTrue="1" operator="lessThan">
      <formula>-0.03</formula>
    </cfRule>
  </conditionalFormatting>
  <conditionalFormatting sqref="I47">
    <cfRule type="cellIs" dxfId="3067" priority="117" operator="greaterThan">
      <formula>0.03</formula>
    </cfRule>
    <cfRule type="cellIs" dxfId="3066" priority="118" stopIfTrue="1" operator="lessThan">
      <formula>-0.03</formula>
    </cfRule>
  </conditionalFormatting>
  <conditionalFormatting sqref="I47">
    <cfRule type="cellIs" dxfId="3065" priority="115" operator="greaterThan">
      <formula>0.03</formula>
    </cfRule>
    <cfRule type="cellIs" dxfId="3064" priority="116" stopIfTrue="1" operator="lessThan">
      <formula>-0.03</formula>
    </cfRule>
  </conditionalFormatting>
  <conditionalFormatting sqref="I47">
    <cfRule type="cellIs" dxfId="3063" priority="113" operator="greaterThan">
      <formula>0.03</formula>
    </cfRule>
    <cfRule type="cellIs" dxfId="3062" priority="114" stopIfTrue="1" operator="lessThan">
      <formula>-0.03</formula>
    </cfRule>
  </conditionalFormatting>
  <conditionalFormatting sqref="I47">
    <cfRule type="cellIs" dxfId="3061" priority="111" operator="greaterThan">
      <formula>0.03</formula>
    </cfRule>
    <cfRule type="cellIs" dxfId="3060" priority="112" stopIfTrue="1" operator="lessThan">
      <formula>-0.03</formula>
    </cfRule>
  </conditionalFormatting>
  <conditionalFormatting sqref="I60:I62">
    <cfRule type="cellIs" dxfId="3059" priority="99" operator="greaterThan">
      <formula>0.03</formula>
    </cfRule>
    <cfRule type="cellIs" dxfId="3058" priority="100" stopIfTrue="1" operator="lessThan">
      <formula>-0.03</formula>
    </cfRule>
  </conditionalFormatting>
  <conditionalFormatting sqref="I60:I62">
    <cfRule type="cellIs" dxfId="3057" priority="97" operator="greaterThan">
      <formula>0.03</formula>
    </cfRule>
    <cfRule type="cellIs" dxfId="3056" priority="98" stopIfTrue="1" operator="lessThan">
      <formula>-0.03</formula>
    </cfRule>
  </conditionalFormatting>
  <conditionalFormatting sqref="I60:I62">
    <cfRule type="cellIs" dxfId="3055" priority="95" operator="greaterThan">
      <formula>0.03</formula>
    </cfRule>
    <cfRule type="cellIs" dxfId="3054" priority="96" stopIfTrue="1" operator="lessThan">
      <formula>-0.03</formula>
    </cfRule>
  </conditionalFormatting>
  <conditionalFormatting sqref="I60:I62">
    <cfRule type="cellIs" dxfId="3053" priority="93" operator="greaterThan">
      <formula>0.03</formula>
    </cfRule>
    <cfRule type="cellIs" dxfId="3052" priority="94" stopIfTrue="1" operator="lessThan">
      <formula>-0.03</formula>
    </cfRule>
  </conditionalFormatting>
  <conditionalFormatting sqref="I60:I62">
    <cfRule type="cellIs" dxfId="3051" priority="91" operator="greaterThan">
      <formula>0.03</formula>
    </cfRule>
    <cfRule type="cellIs" dxfId="3050" priority="92" stopIfTrue="1" operator="lessThan">
      <formula>-0.03</formula>
    </cfRule>
  </conditionalFormatting>
  <conditionalFormatting sqref="I59">
    <cfRule type="cellIs" dxfId="3049" priority="89" operator="greaterThan">
      <formula>0.03</formula>
    </cfRule>
    <cfRule type="cellIs" dxfId="3048" priority="90" stopIfTrue="1" operator="lessThan">
      <formula>-0.03</formula>
    </cfRule>
  </conditionalFormatting>
  <conditionalFormatting sqref="I59">
    <cfRule type="cellIs" dxfId="3047" priority="87" operator="greaterThan">
      <formula>0.03</formula>
    </cfRule>
    <cfRule type="cellIs" dxfId="3046" priority="88" stopIfTrue="1" operator="lessThan">
      <formula>-0.03</formula>
    </cfRule>
  </conditionalFormatting>
  <conditionalFormatting sqref="I59">
    <cfRule type="cellIs" dxfId="3045" priority="85" operator="greaterThan">
      <formula>0.03</formula>
    </cfRule>
    <cfRule type="cellIs" dxfId="3044" priority="86" stopIfTrue="1" operator="lessThan">
      <formula>-0.03</formula>
    </cfRule>
  </conditionalFormatting>
  <conditionalFormatting sqref="I59">
    <cfRule type="cellIs" dxfId="3043" priority="83" operator="greaterThan">
      <formula>0.03</formula>
    </cfRule>
    <cfRule type="cellIs" dxfId="3042" priority="84" stopIfTrue="1" operator="lessThan">
      <formula>-0.03</formula>
    </cfRule>
  </conditionalFormatting>
  <conditionalFormatting sqref="I59">
    <cfRule type="cellIs" dxfId="3041" priority="81" operator="greaterThan">
      <formula>0.03</formula>
    </cfRule>
    <cfRule type="cellIs" dxfId="3040" priority="82" stopIfTrue="1" operator="lessThan">
      <formula>-0.03</formula>
    </cfRule>
  </conditionalFormatting>
  <conditionalFormatting sqref="I4:I6 I8:I10">
    <cfRule type="cellIs" dxfId="3039" priority="79" operator="greaterThan">
      <formula>0.03</formula>
    </cfRule>
    <cfRule type="cellIs" dxfId="3038" priority="80" stopIfTrue="1" operator="lessThan">
      <formula>-0.03</formula>
    </cfRule>
  </conditionalFormatting>
  <conditionalFormatting sqref="I4:I6 I8:I10">
    <cfRule type="cellIs" dxfId="3037" priority="77" operator="greaterThan">
      <formula>0.03</formula>
    </cfRule>
    <cfRule type="cellIs" dxfId="3036" priority="78" stopIfTrue="1" operator="lessThan">
      <formula>-0.03</formula>
    </cfRule>
  </conditionalFormatting>
  <conditionalFormatting sqref="I4:I6 I8:I10">
    <cfRule type="cellIs" dxfId="3035" priority="75" operator="greaterThan">
      <formula>0.03</formula>
    </cfRule>
    <cfRule type="cellIs" dxfId="3034" priority="76" stopIfTrue="1" operator="lessThan">
      <formula>-0.03</formula>
    </cfRule>
  </conditionalFormatting>
  <conditionalFormatting sqref="I4:I6 I8:I10">
    <cfRule type="cellIs" dxfId="3033" priority="71" operator="greaterThan">
      <formula>0.03</formula>
    </cfRule>
    <cfRule type="cellIs" dxfId="3032" priority="72" stopIfTrue="1" operator="lessThan">
      <formula>-0.03</formula>
    </cfRule>
  </conditionalFormatting>
  <conditionalFormatting sqref="I4:I6 I8:I10">
    <cfRule type="cellIs" dxfId="3031" priority="73" operator="greaterThan">
      <formula>0.03</formula>
    </cfRule>
    <cfRule type="cellIs" dxfId="3030" priority="74" stopIfTrue="1" operator="lessThan">
      <formula>-0.03</formula>
    </cfRule>
  </conditionalFormatting>
  <conditionalFormatting sqref="I3">
    <cfRule type="cellIs" dxfId="3029" priority="69" operator="greaterThan">
      <formula>0.03</formula>
    </cfRule>
    <cfRule type="cellIs" dxfId="3028" priority="70" stopIfTrue="1" operator="lessThan">
      <formula>-0.03</formula>
    </cfRule>
  </conditionalFormatting>
  <conditionalFormatting sqref="I3">
    <cfRule type="cellIs" dxfId="3027" priority="67" operator="greaterThan">
      <formula>0.03</formula>
    </cfRule>
    <cfRule type="cellIs" dxfId="3026" priority="68" stopIfTrue="1" operator="lessThan">
      <formula>-0.03</formula>
    </cfRule>
  </conditionalFormatting>
  <conditionalFormatting sqref="I3">
    <cfRule type="cellIs" dxfId="3025" priority="65" operator="greaterThan">
      <formula>0.03</formula>
    </cfRule>
    <cfRule type="cellIs" dxfId="3024" priority="66" stopIfTrue="1" operator="lessThan">
      <formula>-0.03</formula>
    </cfRule>
  </conditionalFormatting>
  <conditionalFormatting sqref="I3">
    <cfRule type="cellIs" dxfId="3023" priority="63" operator="greaterThan">
      <formula>0.03</formula>
    </cfRule>
    <cfRule type="cellIs" dxfId="3022" priority="64" stopIfTrue="1" operator="lessThan">
      <formula>-0.03</formula>
    </cfRule>
  </conditionalFormatting>
  <conditionalFormatting sqref="I3">
    <cfRule type="cellIs" dxfId="3021" priority="61" operator="greaterThan">
      <formula>0.03</formula>
    </cfRule>
    <cfRule type="cellIs" dxfId="3020" priority="62" stopIfTrue="1" operator="lessThan">
      <formula>-0.03</formula>
    </cfRule>
  </conditionalFormatting>
  <conditionalFormatting sqref="I7">
    <cfRule type="cellIs" dxfId="3019" priority="59" operator="greaterThan">
      <formula>0.03</formula>
    </cfRule>
    <cfRule type="cellIs" dxfId="3018" priority="60" stopIfTrue="1" operator="lessThan">
      <formula>-0.03</formula>
    </cfRule>
  </conditionalFormatting>
  <conditionalFormatting sqref="I7">
    <cfRule type="cellIs" dxfId="3017" priority="57" operator="greaterThan">
      <formula>0.03</formula>
    </cfRule>
    <cfRule type="cellIs" dxfId="3016" priority="58" stopIfTrue="1" operator="lessThan">
      <formula>-0.03</formula>
    </cfRule>
  </conditionalFormatting>
  <conditionalFormatting sqref="I7">
    <cfRule type="cellIs" dxfId="3015" priority="55" operator="greaterThan">
      <formula>0.03</formula>
    </cfRule>
    <cfRule type="cellIs" dxfId="3014" priority="56" stopIfTrue="1" operator="lessThan">
      <formula>-0.03</formula>
    </cfRule>
  </conditionalFormatting>
  <conditionalFormatting sqref="I7">
    <cfRule type="cellIs" dxfId="3013" priority="53" operator="greaterThan">
      <formula>0.03</formula>
    </cfRule>
    <cfRule type="cellIs" dxfId="3012" priority="54" stopIfTrue="1" operator="lessThan">
      <formula>-0.03</formula>
    </cfRule>
  </conditionalFormatting>
  <conditionalFormatting sqref="I7">
    <cfRule type="cellIs" dxfId="3011" priority="51" operator="greaterThan">
      <formula>0.03</formula>
    </cfRule>
    <cfRule type="cellIs" dxfId="3010" priority="52" stopIfTrue="1" operator="lessThan">
      <formula>-0.03</formula>
    </cfRule>
  </conditionalFormatting>
  <conditionalFormatting sqref="I15">
    <cfRule type="cellIs" dxfId="3009" priority="49" operator="greaterThan">
      <formula>0.03</formula>
    </cfRule>
    <cfRule type="cellIs" dxfId="3008" priority="50" stopIfTrue="1" operator="lessThan">
      <formula>-0.03</formula>
    </cfRule>
  </conditionalFormatting>
  <conditionalFormatting sqref="I15">
    <cfRule type="cellIs" dxfId="3007" priority="47" operator="greaterThan">
      <formula>0.03</formula>
    </cfRule>
    <cfRule type="cellIs" dxfId="3006" priority="48" stopIfTrue="1" operator="lessThan">
      <formula>-0.03</formula>
    </cfRule>
  </conditionalFormatting>
  <conditionalFormatting sqref="I15">
    <cfRule type="cellIs" dxfId="3005" priority="45" operator="greaterThan">
      <formula>0.03</formula>
    </cfRule>
    <cfRule type="cellIs" dxfId="3004" priority="46" stopIfTrue="1" operator="lessThan">
      <formula>-0.03</formula>
    </cfRule>
  </conditionalFormatting>
  <conditionalFormatting sqref="I15">
    <cfRule type="cellIs" dxfId="3003" priority="43" operator="greaterThan">
      <formula>0.03</formula>
    </cfRule>
    <cfRule type="cellIs" dxfId="3002" priority="44" stopIfTrue="1" operator="lessThan">
      <formula>-0.03</formula>
    </cfRule>
  </conditionalFormatting>
  <conditionalFormatting sqref="I15">
    <cfRule type="cellIs" dxfId="3001" priority="41" operator="greaterThan">
      <formula>0.03</formula>
    </cfRule>
    <cfRule type="cellIs" dxfId="3000" priority="42" stopIfTrue="1" operator="lessThan">
      <formula>-0.03</formula>
    </cfRule>
  </conditionalFormatting>
  <conditionalFormatting sqref="I73">
    <cfRule type="cellIs" dxfId="2999" priority="39" operator="greaterThan">
      <formula>0.03</formula>
    </cfRule>
    <cfRule type="cellIs" dxfId="2998" priority="40" stopIfTrue="1" operator="lessThan">
      <formula>-0.03</formula>
    </cfRule>
  </conditionalFormatting>
  <conditionalFormatting sqref="I73">
    <cfRule type="cellIs" dxfId="2997" priority="37" operator="greaterThan">
      <formula>0.03</formula>
    </cfRule>
    <cfRule type="cellIs" dxfId="2996" priority="38" stopIfTrue="1" operator="lessThan">
      <formula>-0.03</formula>
    </cfRule>
  </conditionalFormatting>
  <conditionalFormatting sqref="I73">
    <cfRule type="cellIs" dxfId="2995" priority="35" operator="greaterThan">
      <formula>0.03</formula>
    </cfRule>
    <cfRule type="cellIs" dxfId="2994" priority="36" stopIfTrue="1" operator="lessThan">
      <formula>-0.03</formula>
    </cfRule>
  </conditionalFormatting>
  <conditionalFormatting sqref="I73">
    <cfRule type="cellIs" dxfId="2993" priority="33" operator="greaterThan">
      <formula>0.03</formula>
    </cfRule>
    <cfRule type="cellIs" dxfId="2992" priority="34" stopIfTrue="1" operator="lessThan">
      <formula>-0.03</formula>
    </cfRule>
  </conditionalFormatting>
  <conditionalFormatting sqref="I73">
    <cfRule type="cellIs" dxfId="2991" priority="31" operator="greaterThan">
      <formula>0.03</formula>
    </cfRule>
    <cfRule type="cellIs" dxfId="2990" priority="32" stopIfTrue="1" operator="lessThan">
      <formula>-0.03</formula>
    </cfRule>
  </conditionalFormatting>
  <conditionalFormatting sqref="I77">
    <cfRule type="cellIs" dxfId="2989" priority="29" operator="greaterThan">
      <formula>0.03</formula>
    </cfRule>
    <cfRule type="cellIs" dxfId="2988" priority="30" stopIfTrue="1" operator="lessThan">
      <formula>-0.03</formula>
    </cfRule>
  </conditionalFormatting>
  <conditionalFormatting sqref="I77">
    <cfRule type="cellIs" dxfId="2987" priority="27" operator="greaterThan">
      <formula>0.03</formula>
    </cfRule>
    <cfRule type="cellIs" dxfId="2986" priority="28" stopIfTrue="1" operator="lessThan">
      <formula>-0.03</formula>
    </cfRule>
  </conditionalFormatting>
  <conditionalFormatting sqref="I77">
    <cfRule type="cellIs" dxfId="2985" priority="25" operator="greaterThan">
      <formula>0.03</formula>
    </cfRule>
    <cfRule type="cellIs" dxfId="2984" priority="26" stopIfTrue="1" operator="lessThan">
      <formula>-0.03</formula>
    </cfRule>
  </conditionalFormatting>
  <conditionalFormatting sqref="I77">
    <cfRule type="cellIs" dxfId="2983" priority="23" operator="greaterThan">
      <formula>0.03</formula>
    </cfRule>
    <cfRule type="cellIs" dxfId="2982" priority="24" stopIfTrue="1" operator="lessThan">
      <formula>-0.03</formula>
    </cfRule>
  </conditionalFormatting>
  <conditionalFormatting sqref="I77">
    <cfRule type="cellIs" dxfId="2981" priority="21" operator="greaterThan">
      <formula>0.03</formula>
    </cfRule>
    <cfRule type="cellIs" dxfId="2980" priority="22" stopIfTrue="1" operator="lessThan">
      <formula>-0.03</formula>
    </cfRule>
  </conditionalFormatting>
  <conditionalFormatting sqref="I81">
    <cfRule type="cellIs" dxfId="2979" priority="19" operator="greaterThan">
      <formula>0.03</formula>
    </cfRule>
    <cfRule type="cellIs" dxfId="2978" priority="20" stopIfTrue="1" operator="lessThan">
      <formula>-0.03</formula>
    </cfRule>
  </conditionalFormatting>
  <conditionalFormatting sqref="I81">
    <cfRule type="cellIs" dxfId="2977" priority="17" operator="greaterThan">
      <formula>0.03</formula>
    </cfRule>
    <cfRule type="cellIs" dxfId="2976" priority="18" stopIfTrue="1" operator="lessThan">
      <formula>-0.03</formula>
    </cfRule>
  </conditionalFormatting>
  <conditionalFormatting sqref="I81">
    <cfRule type="cellIs" dxfId="2975" priority="15" operator="greaterThan">
      <formula>0.03</formula>
    </cfRule>
    <cfRule type="cellIs" dxfId="2974" priority="16" stopIfTrue="1" operator="lessThan">
      <formula>-0.03</formula>
    </cfRule>
  </conditionalFormatting>
  <conditionalFormatting sqref="I81">
    <cfRule type="cellIs" dxfId="2973" priority="13" operator="greaterThan">
      <formula>0.03</formula>
    </cfRule>
    <cfRule type="cellIs" dxfId="2972" priority="14" stopIfTrue="1" operator="lessThan">
      <formula>-0.03</formula>
    </cfRule>
  </conditionalFormatting>
  <conditionalFormatting sqref="I81">
    <cfRule type="cellIs" dxfId="2971" priority="11" operator="greaterThan">
      <formula>0.03</formula>
    </cfRule>
    <cfRule type="cellIs" dxfId="2970" priority="12" stopIfTrue="1" operator="lessThan">
      <formula>-0.03</formula>
    </cfRule>
  </conditionalFormatting>
  <conditionalFormatting sqref="I85">
    <cfRule type="cellIs" dxfId="2969" priority="9" operator="greaterThan">
      <formula>0.03</formula>
    </cfRule>
    <cfRule type="cellIs" dxfId="2968" priority="10" stopIfTrue="1" operator="lessThan">
      <formula>-0.03</formula>
    </cfRule>
  </conditionalFormatting>
  <conditionalFormatting sqref="I85">
    <cfRule type="cellIs" dxfId="2967" priority="7" operator="greaterThan">
      <formula>0.03</formula>
    </cfRule>
    <cfRule type="cellIs" dxfId="2966" priority="8" stopIfTrue="1" operator="lessThan">
      <formula>-0.03</formula>
    </cfRule>
  </conditionalFormatting>
  <conditionalFormatting sqref="I85">
    <cfRule type="cellIs" dxfId="2965" priority="5" operator="greaterThan">
      <formula>0.03</formula>
    </cfRule>
    <cfRule type="cellIs" dxfId="2964" priority="6" stopIfTrue="1" operator="lessThan">
      <formula>-0.03</formula>
    </cfRule>
  </conditionalFormatting>
  <conditionalFormatting sqref="I85">
    <cfRule type="cellIs" dxfId="2963" priority="3" operator="greaterThan">
      <formula>0.03</formula>
    </cfRule>
    <cfRule type="cellIs" dxfId="2962" priority="4" stopIfTrue="1" operator="lessThan">
      <formula>-0.03</formula>
    </cfRule>
  </conditionalFormatting>
  <conditionalFormatting sqref="I85">
    <cfRule type="cellIs" dxfId="2961" priority="1" operator="greaterThan">
      <formula>0.03</formula>
    </cfRule>
    <cfRule type="cellIs" dxfId="2960" priority="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8A6D5-BD9C-49A1-8C5B-BBA62970D75B}">
  <dimension ref="A1:I42"/>
  <sheetViews>
    <sheetView zoomScaleNormal="100" workbookViewId="0">
      <selection activeCell="G3" sqref="G3:G30"/>
    </sheetView>
  </sheetViews>
  <sheetFormatPr defaultColWidth="8.875" defaultRowHeight="14.25"/>
  <cols>
    <col min="2" max="2" width="25.375" bestFit="1" customWidth="1"/>
    <col min="3" max="3" width="5.875" bestFit="1" customWidth="1"/>
    <col min="5" max="5" width="8.5" bestFit="1" customWidth="1"/>
    <col min="6" max="6" width="3.625" bestFit="1" customWidth="1"/>
  </cols>
  <sheetData>
    <row r="1" spans="1:9" ht="15" thickBot="1">
      <c r="A1" s="1"/>
      <c r="B1" s="1"/>
      <c r="C1" s="1"/>
      <c r="D1" s="28" t="s">
        <v>25</v>
      </c>
      <c r="E1" s="29"/>
      <c r="F1" s="1"/>
      <c r="G1" s="28" t="s">
        <v>26</v>
      </c>
      <c r="H1" s="29"/>
      <c r="I1" s="25"/>
    </row>
    <row r="2" spans="1:9" ht="15" thickBot="1">
      <c r="A2" s="2"/>
      <c r="B2" s="3"/>
      <c r="C2" s="22" t="s">
        <v>24</v>
      </c>
      <c r="D2" s="13" t="s">
        <v>0</v>
      </c>
      <c r="E2" s="5" t="s">
        <v>31</v>
      </c>
      <c r="F2" s="22" t="s">
        <v>24</v>
      </c>
      <c r="G2" s="13" t="s">
        <v>0</v>
      </c>
      <c r="H2" s="5" t="s">
        <v>31</v>
      </c>
      <c r="I2" s="5" t="s">
        <v>31</v>
      </c>
    </row>
    <row r="3" spans="1:9">
      <c r="A3" s="20" t="s">
        <v>32</v>
      </c>
      <c r="B3" s="24" t="s">
        <v>33</v>
      </c>
      <c r="C3" s="6">
        <v>27</v>
      </c>
      <c r="D3" s="24">
        <v>0.13102494855967001</v>
      </c>
      <c r="E3" s="24">
        <v>34.8230590820312</v>
      </c>
      <c r="F3" s="6">
        <v>27</v>
      </c>
      <c r="G3" s="24">
        <v>0.13102494855967001</v>
      </c>
      <c r="H3" s="24">
        <v>34.8230590820312</v>
      </c>
      <c r="I3" s="7">
        <f>bdrate($D3:$D6,E3:E6,$G3:$G6,H3:H6)</f>
        <v>0</v>
      </c>
    </row>
    <row r="4" spans="1:9">
      <c r="A4" s="14" t="s">
        <v>5</v>
      </c>
      <c r="B4" s="16"/>
      <c r="C4" s="8">
        <v>32</v>
      </c>
      <c r="D4" s="24">
        <v>5.5262667181069897E-2</v>
      </c>
      <c r="E4" s="24">
        <v>34.2650337219238</v>
      </c>
      <c r="F4" s="8">
        <v>32</v>
      </c>
      <c r="G4" s="24">
        <v>5.5262667181069897E-2</v>
      </c>
      <c r="H4" s="24">
        <v>34.2650337219238</v>
      </c>
      <c r="I4" s="9"/>
    </row>
    <row r="5" spans="1:9">
      <c r="A5" s="8"/>
      <c r="B5" s="16"/>
      <c r="C5" s="8">
        <v>38</v>
      </c>
      <c r="D5" s="24">
        <v>3.13851916152263E-2</v>
      </c>
      <c r="E5" s="24">
        <v>33.978195190429602</v>
      </c>
      <c r="F5" s="8">
        <v>38</v>
      </c>
      <c r="G5" s="24">
        <v>3.13851916152263E-2</v>
      </c>
      <c r="H5" s="24">
        <v>33.978195190429602</v>
      </c>
      <c r="I5" s="9"/>
    </row>
    <row r="6" spans="1:9" ht="15" thickBot="1">
      <c r="A6" s="8"/>
      <c r="B6" s="17"/>
      <c r="C6" s="10">
        <v>45</v>
      </c>
      <c r="D6" s="24">
        <v>1.7379275977366201E-2</v>
      </c>
      <c r="E6" s="24">
        <v>33.604076385497997</v>
      </c>
      <c r="F6" s="10">
        <v>45</v>
      </c>
      <c r="G6" s="24">
        <v>1.7379275977366201E-2</v>
      </c>
      <c r="H6" s="24">
        <v>33.604076385497997</v>
      </c>
      <c r="I6" s="2"/>
    </row>
    <row r="7" spans="1:9">
      <c r="A7" s="8"/>
      <c r="B7" s="24" t="s">
        <v>34</v>
      </c>
      <c r="C7" s="6">
        <v>27</v>
      </c>
      <c r="D7" s="24">
        <v>5.6991062242798297E-2</v>
      </c>
      <c r="E7" s="24">
        <v>39.6392211914062</v>
      </c>
      <c r="F7" s="6">
        <v>27</v>
      </c>
      <c r="G7" s="24">
        <v>5.6991062242798297E-2</v>
      </c>
      <c r="H7" s="24">
        <v>39.6392211914062</v>
      </c>
      <c r="I7" s="7">
        <f>bdrate($D7:$D10,E7:E10,$G7:$G10,H7:H10)</f>
        <v>0</v>
      </c>
    </row>
    <row r="8" spans="1:9">
      <c r="A8" s="8"/>
      <c r="B8" s="16"/>
      <c r="C8" s="8">
        <v>32</v>
      </c>
      <c r="D8" s="24">
        <v>3.5741705246913502E-2</v>
      </c>
      <c r="E8" s="24">
        <v>38.532684326171797</v>
      </c>
      <c r="F8" s="8">
        <v>32</v>
      </c>
      <c r="G8" s="24">
        <v>3.5741705246913502E-2</v>
      </c>
      <c r="H8" s="24">
        <v>38.532684326171797</v>
      </c>
      <c r="I8" s="9"/>
    </row>
    <row r="9" spans="1:9">
      <c r="A9" s="8"/>
      <c r="B9" s="16"/>
      <c r="C9" s="8">
        <v>38</v>
      </c>
      <c r="D9" s="24">
        <v>2.3069862397119299E-2</v>
      </c>
      <c r="E9" s="24">
        <v>37.331943511962798</v>
      </c>
      <c r="F9" s="8">
        <v>38</v>
      </c>
      <c r="G9" s="24">
        <v>2.3069862397119299E-2</v>
      </c>
      <c r="H9" s="24">
        <v>37.331943511962798</v>
      </c>
      <c r="I9" s="9"/>
    </row>
    <row r="10" spans="1:9" ht="15" thickBot="1">
      <c r="A10" s="8"/>
      <c r="B10" s="17"/>
      <c r="C10" s="10">
        <v>45</v>
      </c>
      <c r="D10" s="24">
        <v>1.4155414094650201E-2</v>
      </c>
      <c r="E10" s="24">
        <v>35.686119079589801</v>
      </c>
      <c r="F10" s="10">
        <v>45</v>
      </c>
      <c r="G10" s="24">
        <v>1.4155414094650201E-2</v>
      </c>
      <c r="H10" s="24">
        <v>35.686119079589801</v>
      </c>
      <c r="I10" s="9"/>
    </row>
    <row r="11" spans="1:9">
      <c r="A11" s="14"/>
      <c r="B11" s="24" t="s">
        <v>35</v>
      </c>
      <c r="C11" s="6">
        <v>27</v>
      </c>
      <c r="D11" s="24">
        <v>2.2645318930041101E-2</v>
      </c>
      <c r="E11" s="24">
        <v>37.742992401122997</v>
      </c>
      <c r="F11" s="6">
        <v>27</v>
      </c>
      <c r="G11" s="24">
        <v>2.2645318930041101E-2</v>
      </c>
      <c r="H11" s="24">
        <v>37.742992401122997</v>
      </c>
      <c r="I11" s="7">
        <f>bdrate($D11:$D14,E11:E14,$G11:$G14,H11:H14)</f>
        <v>0</v>
      </c>
    </row>
    <row r="12" spans="1:9">
      <c r="A12" s="14"/>
      <c r="B12" s="16"/>
      <c r="C12" s="8">
        <v>32</v>
      </c>
      <c r="D12" s="24">
        <v>1.62069187242798E-2</v>
      </c>
      <c r="E12" s="24">
        <v>37.486782073974602</v>
      </c>
      <c r="F12" s="8">
        <v>32</v>
      </c>
      <c r="G12" s="24">
        <v>1.62069187242798E-2</v>
      </c>
      <c r="H12" s="24">
        <v>37.486782073974602</v>
      </c>
      <c r="I12" s="9"/>
    </row>
    <row r="13" spans="1:9">
      <c r="A13" s="8"/>
      <c r="B13" s="16"/>
      <c r="C13" s="8">
        <v>38</v>
      </c>
      <c r="D13" s="24">
        <v>1.22326710390946E-2</v>
      </c>
      <c r="E13" s="24">
        <v>37.098365783691399</v>
      </c>
      <c r="F13" s="8">
        <v>38</v>
      </c>
      <c r="G13" s="24">
        <v>1.22326710390946E-2</v>
      </c>
      <c r="H13" s="24">
        <v>37.098365783691399</v>
      </c>
      <c r="I13" s="9"/>
    </row>
    <row r="14" spans="1:9" ht="15" thickBot="1">
      <c r="A14" s="8"/>
      <c r="B14" s="17"/>
      <c r="C14" s="10">
        <v>45</v>
      </c>
      <c r="D14" s="24">
        <v>9.0432098765432095E-3</v>
      </c>
      <c r="E14" s="24">
        <v>36.139297485351499</v>
      </c>
      <c r="F14" s="10">
        <v>45</v>
      </c>
      <c r="G14" s="24">
        <v>9.0432098765432095E-3</v>
      </c>
      <c r="H14" s="24">
        <v>36.139297485351499</v>
      </c>
      <c r="I14" s="2"/>
    </row>
    <row r="15" spans="1:9">
      <c r="A15" s="8"/>
      <c r="B15" s="24" t="s">
        <v>36</v>
      </c>
      <c r="C15" s="6">
        <v>27</v>
      </c>
      <c r="D15" s="24">
        <v>6.2148598251028801E-2</v>
      </c>
      <c r="E15" s="24">
        <v>38.771438598632798</v>
      </c>
      <c r="F15" s="6">
        <v>27</v>
      </c>
      <c r="G15" s="24">
        <v>6.2148598251028801E-2</v>
      </c>
      <c r="H15" s="24">
        <v>38.771438598632798</v>
      </c>
      <c r="I15" s="7">
        <f>bdrate($D15:$D18,E15:E18,$G15:$G18,H15:H18)</f>
        <v>0</v>
      </c>
    </row>
    <row r="16" spans="1:9">
      <c r="A16" s="8"/>
      <c r="B16" s="16"/>
      <c r="C16" s="8">
        <v>32</v>
      </c>
      <c r="D16" s="24">
        <v>4.2090727880658402E-2</v>
      </c>
      <c r="E16" s="24">
        <v>38.169677734375</v>
      </c>
      <c r="F16" s="8">
        <v>32</v>
      </c>
      <c r="G16" s="24">
        <v>4.2090727880658402E-2</v>
      </c>
      <c r="H16" s="24">
        <v>38.169677734375</v>
      </c>
      <c r="I16" s="9"/>
    </row>
    <row r="17" spans="1:9">
      <c r="A17" s="8"/>
      <c r="B17" s="16"/>
      <c r="C17" s="8">
        <v>38</v>
      </c>
      <c r="D17" s="24">
        <v>3.03526877572016E-2</v>
      </c>
      <c r="E17" s="24">
        <v>37.487010955810497</v>
      </c>
      <c r="F17" s="8">
        <v>38</v>
      </c>
      <c r="G17" s="24">
        <v>3.03526877572016E-2</v>
      </c>
      <c r="H17" s="24">
        <v>37.487010955810497</v>
      </c>
      <c r="I17" s="9"/>
    </row>
    <row r="18" spans="1:9" ht="15" thickBot="1">
      <c r="A18" s="8"/>
      <c r="B18" s="17"/>
      <c r="C18" s="10">
        <v>45</v>
      </c>
      <c r="D18" s="24">
        <v>2.1547228652263301E-2</v>
      </c>
      <c r="E18" s="24">
        <v>36.276405334472599</v>
      </c>
      <c r="F18" s="10">
        <v>45</v>
      </c>
      <c r="G18" s="24">
        <v>2.1547228652263301E-2</v>
      </c>
      <c r="H18" s="24">
        <v>36.276405334472599</v>
      </c>
      <c r="I18" s="9"/>
    </row>
    <row r="19" spans="1:9">
      <c r="A19" s="8"/>
      <c r="B19" s="24" t="s">
        <v>37</v>
      </c>
      <c r="C19" s="6">
        <v>27</v>
      </c>
      <c r="D19" s="24">
        <v>8.2705118312757203E-2</v>
      </c>
      <c r="E19" s="24">
        <v>38.5883178710937</v>
      </c>
      <c r="F19" s="6">
        <v>27</v>
      </c>
      <c r="G19" s="24">
        <v>8.2705118312757203E-2</v>
      </c>
      <c r="H19" s="24">
        <v>38.5883178710937</v>
      </c>
      <c r="I19" s="7">
        <f>bdrate($D19:$D22,E19:E22,$G19:$G22,H19:H22)</f>
        <v>0</v>
      </c>
    </row>
    <row r="20" spans="1:9">
      <c r="A20" s="8"/>
      <c r="B20" s="16"/>
      <c r="C20" s="8">
        <v>32</v>
      </c>
      <c r="D20" s="24">
        <v>5.8443126286008201E-2</v>
      </c>
      <c r="E20" s="24">
        <v>37.604438781738203</v>
      </c>
      <c r="F20" s="8">
        <v>32</v>
      </c>
      <c r="G20" s="24">
        <v>5.8443126286008201E-2</v>
      </c>
      <c r="H20" s="24">
        <v>37.604438781738203</v>
      </c>
      <c r="I20" s="9"/>
    </row>
    <row r="21" spans="1:9">
      <c r="A21" s="8"/>
      <c r="B21" s="16"/>
      <c r="C21" s="8">
        <v>38</v>
      </c>
      <c r="D21" s="24">
        <v>4.1622620884773601E-2</v>
      </c>
      <c r="E21" s="24">
        <v>36.537948608398402</v>
      </c>
      <c r="F21" s="8">
        <v>38</v>
      </c>
      <c r="G21" s="24">
        <v>4.1622620884773601E-2</v>
      </c>
      <c r="H21" s="24">
        <v>36.537948608398402</v>
      </c>
      <c r="I21" s="9"/>
    </row>
    <row r="22" spans="1:9" ht="15" thickBot="1">
      <c r="A22" s="8"/>
      <c r="B22" s="17"/>
      <c r="C22" s="10">
        <v>45</v>
      </c>
      <c r="D22" s="24">
        <v>2.8709972993827101E-2</v>
      </c>
      <c r="E22" s="24">
        <v>34.842987060546797</v>
      </c>
      <c r="F22" s="10">
        <v>45</v>
      </c>
      <c r="G22" s="24">
        <v>2.8709972993827101E-2</v>
      </c>
      <c r="H22" s="24">
        <v>34.842987060546797</v>
      </c>
      <c r="I22" s="2"/>
    </row>
    <row r="23" spans="1:9">
      <c r="A23" s="26"/>
      <c r="B23" s="24" t="s">
        <v>38</v>
      </c>
      <c r="C23" s="6">
        <v>27</v>
      </c>
      <c r="D23" s="24">
        <v>0.22560731738683101</v>
      </c>
      <c r="E23" s="24">
        <v>37.335689544677699</v>
      </c>
      <c r="F23" s="6">
        <v>27</v>
      </c>
      <c r="G23" s="24">
        <v>0.22560731738683101</v>
      </c>
      <c r="H23" s="24">
        <v>37.335689544677699</v>
      </c>
      <c r="I23" s="7">
        <f>bdrate($D23:$D26,E23:E26,$G23:$G26,H23:H26)</f>
        <v>0</v>
      </c>
    </row>
    <row r="24" spans="1:9">
      <c r="A24" s="14"/>
      <c r="B24" s="16"/>
      <c r="C24" s="8">
        <v>32</v>
      </c>
      <c r="D24" s="24">
        <v>0.147040412808641</v>
      </c>
      <c r="E24" s="24">
        <v>36.262279510497997</v>
      </c>
      <c r="F24" s="8">
        <v>32</v>
      </c>
      <c r="G24" s="24">
        <v>0.147040412808641</v>
      </c>
      <c r="H24" s="24">
        <v>36.262279510497997</v>
      </c>
      <c r="I24" s="9"/>
    </row>
    <row r="25" spans="1:9">
      <c r="A25" s="8"/>
      <c r="B25" s="16"/>
      <c r="C25" s="8">
        <v>38</v>
      </c>
      <c r="D25" s="24">
        <v>9.3587159207818904E-2</v>
      </c>
      <c r="E25" s="24">
        <v>35.0457954406738</v>
      </c>
      <c r="F25" s="8">
        <v>38</v>
      </c>
      <c r="G25" s="24">
        <v>9.3587159207818904E-2</v>
      </c>
      <c r="H25" s="24">
        <v>35.0457954406738</v>
      </c>
      <c r="I25" s="9"/>
    </row>
    <row r="26" spans="1:9" ht="15" thickBot="1">
      <c r="A26" s="8"/>
      <c r="B26" s="17"/>
      <c r="C26" s="10">
        <v>45</v>
      </c>
      <c r="D26" s="24">
        <v>4.81828703703703E-2</v>
      </c>
      <c r="E26" s="24">
        <v>33.254096984863203</v>
      </c>
      <c r="F26" s="10">
        <v>45</v>
      </c>
      <c r="G26" s="24">
        <v>4.81828703703703E-2</v>
      </c>
      <c r="H26" s="24">
        <v>33.254096984863203</v>
      </c>
      <c r="I26" s="2"/>
    </row>
    <row r="27" spans="1:9">
      <c r="A27" s="8"/>
      <c r="B27" s="24" t="s">
        <v>39</v>
      </c>
      <c r="C27" s="6">
        <v>27</v>
      </c>
      <c r="D27" s="24">
        <v>0.15639387217078099</v>
      </c>
      <c r="E27" s="24">
        <v>39.489189147949197</v>
      </c>
      <c r="F27" s="6">
        <v>27</v>
      </c>
      <c r="G27" s="24">
        <v>0.15639387217078099</v>
      </c>
      <c r="H27" s="24">
        <v>39.489189147949197</v>
      </c>
      <c r="I27" s="7">
        <f>bdrate($D27:$D30,E27:E30,$G27:$G30,H27:H30)</f>
        <v>0</v>
      </c>
    </row>
    <row r="28" spans="1:9">
      <c r="A28" s="8"/>
      <c r="B28" s="16"/>
      <c r="C28" s="8">
        <v>32</v>
      </c>
      <c r="D28" s="24">
        <v>0.10866480195473199</v>
      </c>
      <c r="E28" s="24">
        <v>38.256629943847599</v>
      </c>
      <c r="F28" s="8">
        <v>32</v>
      </c>
      <c r="G28" s="24">
        <v>0.10866480195473199</v>
      </c>
      <c r="H28" s="24">
        <v>38.256629943847599</v>
      </c>
      <c r="I28" s="9"/>
    </row>
    <row r="29" spans="1:9">
      <c r="A29" s="8"/>
      <c r="B29" s="16"/>
      <c r="C29" s="8">
        <v>38</v>
      </c>
      <c r="D29" s="24">
        <v>7.4816743827160498E-2</v>
      </c>
      <c r="E29" s="24">
        <v>36.910957336425703</v>
      </c>
      <c r="F29" s="8">
        <v>38</v>
      </c>
      <c r="G29" s="24">
        <v>7.4816743827160498E-2</v>
      </c>
      <c r="H29" s="24">
        <v>36.910957336425703</v>
      </c>
      <c r="I29" s="9"/>
    </row>
    <row r="30" spans="1:9" ht="15" thickBot="1">
      <c r="A30" s="8"/>
      <c r="B30" s="17"/>
      <c r="C30" s="10">
        <v>45</v>
      </c>
      <c r="D30" s="24">
        <v>4.4689911265432099E-2</v>
      </c>
      <c r="E30" s="24">
        <v>34.934749603271399</v>
      </c>
      <c r="F30" s="10">
        <v>45</v>
      </c>
      <c r="G30" s="24">
        <v>4.4689911265432099E-2</v>
      </c>
      <c r="H30" s="24">
        <v>34.934749603271399</v>
      </c>
      <c r="I30" s="2"/>
    </row>
    <row r="31" spans="1:9" ht="15" thickBot="1">
      <c r="A31" s="11"/>
      <c r="B31" s="4" t="s">
        <v>2</v>
      </c>
      <c r="C31" s="18"/>
      <c r="D31" s="11"/>
      <c r="E31" s="18"/>
      <c r="F31" s="18"/>
      <c r="G31" s="11"/>
      <c r="H31" s="18"/>
      <c r="I31" s="19">
        <f>AVERAGE(I3:I30)</f>
        <v>0</v>
      </c>
    </row>
    <row r="32" spans="1:9" ht="15" thickBot="1">
      <c r="A32" s="9"/>
      <c r="B32" s="12"/>
      <c r="C32" s="12"/>
      <c r="D32" s="12"/>
      <c r="E32" s="12"/>
      <c r="F32" s="12"/>
      <c r="G32" s="12"/>
      <c r="H32" s="12"/>
    </row>
    <row r="33" spans="1:9">
      <c r="A33" s="12"/>
      <c r="B33" s="12" t="s">
        <v>70</v>
      </c>
      <c r="C33" s="12"/>
      <c r="D33" s="12">
        <f>AVERAGE(D3,D7,D11,D15,D19,D23,D27)</f>
        <v>0.10535946226484391</v>
      </c>
      <c r="E33" s="12">
        <f>AVERAGE(E3,E7,E11,E15,E19,E23,E27)</f>
        <v>38.05570111955911</v>
      </c>
      <c r="F33" s="12"/>
      <c r="G33" s="12">
        <f>AVERAGE(G3,G7,G11,G15,G19,G23,G27)</f>
        <v>0.10535946226484391</v>
      </c>
      <c r="H33" s="12">
        <f>AVERAGE(H3,H7,H11,H15,H19,H23,H27)</f>
        <v>38.05570111955911</v>
      </c>
      <c r="I33" s="7">
        <f>bdrate($D33:$D36,E33:E36,$G33:$G36,H33:H36)</f>
        <v>0</v>
      </c>
    </row>
    <row r="34" spans="1:9">
      <c r="A34" s="12"/>
      <c r="B34" s="12"/>
      <c r="C34" s="12"/>
      <c r="D34" s="12">
        <f t="shared" ref="D34:E36" si="0">AVERAGE(D4,D8,D12,D16,D20,D24,D28)</f>
        <v>6.6207194297471836E-2</v>
      </c>
      <c r="E34" s="12">
        <f t="shared" si="0"/>
        <v>37.225360870361278</v>
      </c>
      <c r="F34" s="12"/>
      <c r="G34" s="12">
        <f t="shared" ref="G34:H36" si="1">AVERAGE(G4,G8,G12,G16,G20,G24,G28)</f>
        <v>6.6207194297471836E-2</v>
      </c>
      <c r="H34" s="12">
        <f t="shared" si="1"/>
        <v>37.225360870361278</v>
      </c>
    </row>
    <row r="35" spans="1:9">
      <c r="A35" s="12"/>
      <c r="B35" s="12"/>
      <c r="C35" s="12"/>
      <c r="D35" s="12">
        <f t="shared" si="0"/>
        <v>4.3866705246913544E-2</v>
      </c>
      <c r="E35" s="12">
        <f t="shared" si="0"/>
        <v>36.341459546770317</v>
      </c>
      <c r="F35" s="12"/>
      <c r="G35" s="12">
        <f t="shared" si="1"/>
        <v>4.3866705246913544E-2</v>
      </c>
      <c r="H35" s="12">
        <f t="shared" si="1"/>
        <v>36.341459546770317</v>
      </c>
    </row>
    <row r="36" spans="1:9">
      <c r="A36" s="12"/>
      <c r="B36" s="12"/>
      <c r="C36" s="12"/>
      <c r="D36" s="12">
        <f t="shared" si="0"/>
        <v>2.6243983318636057E-2</v>
      </c>
      <c r="E36" s="12">
        <f t="shared" si="0"/>
        <v>34.962533133370471</v>
      </c>
      <c r="F36" s="12"/>
      <c r="G36" s="12">
        <f t="shared" si="1"/>
        <v>2.6243983318636057E-2</v>
      </c>
      <c r="H36" s="12">
        <f t="shared" si="1"/>
        <v>34.962533133370471</v>
      </c>
    </row>
    <row r="37" spans="1:9">
      <c r="A37" s="12"/>
      <c r="B37" s="12"/>
      <c r="C37" s="12"/>
      <c r="D37" s="12"/>
      <c r="E37" s="12"/>
      <c r="F37" s="12"/>
      <c r="G37" s="12"/>
      <c r="H37" s="12"/>
    </row>
    <row r="38" spans="1:9">
      <c r="A38" s="12"/>
      <c r="B38" s="12"/>
      <c r="C38" s="12"/>
      <c r="D38" s="12"/>
      <c r="E38" s="12"/>
      <c r="F38" s="12"/>
      <c r="G38" s="12"/>
      <c r="H38" s="12"/>
    </row>
    <row r="39" spans="1:9">
      <c r="A39" s="12"/>
    </row>
    <row r="40" spans="1:9">
      <c r="A40" s="12"/>
    </row>
    <row r="41" spans="1:9">
      <c r="A41" s="12"/>
    </row>
    <row r="42" spans="1:9">
      <c r="A42" s="12"/>
    </row>
  </sheetData>
  <mergeCells count="2">
    <mergeCell ref="D1:E1"/>
    <mergeCell ref="G1:H1"/>
  </mergeCells>
  <phoneticPr fontId="1" type="noConversion"/>
  <conditionalFormatting sqref="I31">
    <cfRule type="cellIs" dxfId="2959" priority="135" operator="greaterThan">
      <formula>0.03</formula>
    </cfRule>
    <cfRule type="cellIs" dxfId="2958" priority="136" stopIfTrue="1" operator="lessThan">
      <formula>-0.03</formula>
    </cfRule>
  </conditionalFormatting>
  <conditionalFormatting sqref="I31">
    <cfRule type="cellIs" dxfId="2957" priority="133" operator="greaterThan">
      <formula>0.03</formula>
    </cfRule>
    <cfRule type="cellIs" dxfId="2956" priority="134" stopIfTrue="1" operator="lessThan">
      <formula>-0.03</formula>
    </cfRule>
  </conditionalFormatting>
  <conditionalFormatting sqref="I31">
    <cfRule type="cellIs" dxfId="2955" priority="131" operator="greaterThan">
      <formula>0.03</formula>
    </cfRule>
    <cfRule type="cellIs" dxfId="2954" priority="132" stopIfTrue="1" operator="lessThan">
      <formula>-0.03</formula>
    </cfRule>
  </conditionalFormatting>
  <conditionalFormatting sqref="I31">
    <cfRule type="cellIs" dxfId="2953" priority="139" operator="greaterThan">
      <formula>0.03</formula>
    </cfRule>
    <cfRule type="cellIs" dxfId="2952" priority="140" stopIfTrue="1" operator="lessThan">
      <formula>-0.03</formula>
    </cfRule>
  </conditionalFormatting>
  <conditionalFormatting sqref="I31">
    <cfRule type="cellIs" dxfId="2951" priority="137" operator="greaterThan">
      <formula>0.03</formula>
    </cfRule>
    <cfRule type="cellIs" dxfId="2950" priority="138" stopIfTrue="1" operator="lessThan">
      <formula>-0.03</formula>
    </cfRule>
  </conditionalFormatting>
  <conditionalFormatting sqref="I12:I14 I16:I18">
    <cfRule type="cellIs" dxfId="2949" priority="119" operator="greaterThan">
      <formula>0.03</formula>
    </cfRule>
    <cfRule type="cellIs" dxfId="2948" priority="120" stopIfTrue="1" operator="lessThan">
      <formula>-0.03</formula>
    </cfRule>
  </conditionalFormatting>
  <conditionalFormatting sqref="I12:I14 I16:I18">
    <cfRule type="cellIs" dxfId="2947" priority="117" operator="greaterThan">
      <formula>0.03</formula>
    </cfRule>
    <cfRule type="cellIs" dxfId="2946" priority="118" stopIfTrue="1" operator="lessThan">
      <formula>-0.03</formula>
    </cfRule>
  </conditionalFormatting>
  <conditionalFormatting sqref="I28:I30">
    <cfRule type="cellIs" dxfId="2945" priority="89" operator="greaterThan">
      <formula>0.03</formula>
    </cfRule>
    <cfRule type="cellIs" dxfId="2944" priority="90" stopIfTrue="1" operator="lessThan">
      <formula>-0.03</formula>
    </cfRule>
  </conditionalFormatting>
  <conditionalFormatting sqref="I28:I30">
    <cfRule type="cellIs" dxfId="2943" priority="87" operator="greaterThan">
      <formula>0.03</formula>
    </cfRule>
    <cfRule type="cellIs" dxfId="2942" priority="88" stopIfTrue="1" operator="lessThan">
      <formula>-0.03</formula>
    </cfRule>
  </conditionalFormatting>
  <conditionalFormatting sqref="I28:I30">
    <cfRule type="cellIs" dxfId="2941" priority="85" operator="greaterThan">
      <formula>0.03</formula>
    </cfRule>
    <cfRule type="cellIs" dxfId="2940" priority="86" stopIfTrue="1" operator="lessThan">
      <formula>-0.03</formula>
    </cfRule>
  </conditionalFormatting>
  <conditionalFormatting sqref="I28:I30">
    <cfRule type="cellIs" dxfId="2939" priority="83" operator="greaterThan">
      <formula>0.03</formula>
    </cfRule>
    <cfRule type="cellIs" dxfId="2938" priority="84" stopIfTrue="1" operator="lessThan">
      <formula>-0.03</formula>
    </cfRule>
  </conditionalFormatting>
  <conditionalFormatting sqref="I28:I30">
    <cfRule type="cellIs" dxfId="2937" priority="81" operator="greaterThan">
      <formula>0.03</formula>
    </cfRule>
    <cfRule type="cellIs" dxfId="2936" priority="82" stopIfTrue="1" operator="lessThan">
      <formula>-0.03</formula>
    </cfRule>
  </conditionalFormatting>
  <conditionalFormatting sqref="I20:I22">
    <cfRule type="cellIs" dxfId="2935" priority="125" operator="greaterThan">
      <formula>0.03</formula>
    </cfRule>
    <cfRule type="cellIs" dxfId="2934" priority="126" stopIfTrue="1" operator="lessThan">
      <formula>-0.03</formula>
    </cfRule>
  </conditionalFormatting>
  <conditionalFormatting sqref="I19">
    <cfRule type="cellIs" dxfId="2933" priority="99" operator="greaterThan">
      <formula>0.03</formula>
    </cfRule>
    <cfRule type="cellIs" dxfId="2932" priority="100" stopIfTrue="1" operator="lessThan">
      <formula>-0.03</formula>
    </cfRule>
  </conditionalFormatting>
  <conditionalFormatting sqref="I19">
    <cfRule type="cellIs" dxfId="2931" priority="97" operator="greaterThan">
      <formula>0.03</formula>
    </cfRule>
    <cfRule type="cellIs" dxfId="2930" priority="98" stopIfTrue="1" operator="lessThan">
      <formula>-0.03</formula>
    </cfRule>
  </conditionalFormatting>
  <conditionalFormatting sqref="I19">
    <cfRule type="cellIs" dxfId="2929" priority="95" operator="greaterThan">
      <formula>0.03</formula>
    </cfRule>
    <cfRule type="cellIs" dxfId="2928" priority="96" stopIfTrue="1" operator="lessThan">
      <formula>-0.03</formula>
    </cfRule>
  </conditionalFormatting>
  <conditionalFormatting sqref="I19">
    <cfRule type="cellIs" dxfId="2927" priority="93" operator="greaterThan">
      <formula>0.03</formula>
    </cfRule>
    <cfRule type="cellIs" dxfId="2926" priority="94" stopIfTrue="1" operator="lessThan">
      <formula>-0.03</formula>
    </cfRule>
  </conditionalFormatting>
  <conditionalFormatting sqref="I19">
    <cfRule type="cellIs" dxfId="2925" priority="91" operator="greaterThan">
      <formula>0.03</formula>
    </cfRule>
    <cfRule type="cellIs" dxfId="2924" priority="92" stopIfTrue="1" operator="lessThan">
      <formula>-0.03</formula>
    </cfRule>
  </conditionalFormatting>
  <conditionalFormatting sqref="I20:I22">
    <cfRule type="cellIs" dxfId="2923" priority="129" operator="greaterThan">
      <formula>0.03</formula>
    </cfRule>
    <cfRule type="cellIs" dxfId="2922" priority="130" stopIfTrue="1" operator="lessThan">
      <formula>-0.03</formula>
    </cfRule>
  </conditionalFormatting>
  <conditionalFormatting sqref="I20:I22">
    <cfRule type="cellIs" dxfId="2921" priority="127" operator="greaterThan">
      <formula>0.03</formula>
    </cfRule>
    <cfRule type="cellIs" dxfId="2920" priority="128" stopIfTrue="1" operator="lessThan">
      <formula>-0.03</formula>
    </cfRule>
  </conditionalFormatting>
  <conditionalFormatting sqref="I12:I14 I16:I18">
    <cfRule type="cellIs" dxfId="2919" priority="115" operator="greaterThan">
      <formula>0.03</formula>
    </cfRule>
    <cfRule type="cellIs" dxfId="2918" priority="116" stopIfTrue="1" operator="lessThan">
      <formula>-0.03</formula>
    </cfRule>
  </conditionalFormatting>
  <conditionalFormatting sqref="I20:I22">
    <cfRule type="cellIs" dxfId="2917" priority="123" operator="greaterThan">
      <formula>0.03</formula>
    </cfRule>
    <cfRule type="cellIs" dxfId="2916" priority="124" stopIfTrue="1" operator="lessThan">
      <formula>-0.03</formula>
    </cfRule>
  </conditionalFormatting>
  <conditionalFormatting sqref="I20:I22">
    <cfRule type="cellIs" dxfId="2915" priority="121" operator="greaterThan">
      <formula>0.03</formula>
    </cfRule>
    <cfRule type="cellIs" dxfId="2914" priority="122" stopIfTrue="1" operator="lessThan">
      <formula>-0.03</formula>
    </cfRule>
  </conditionalFormatting>
  <conditionalFormatting sqref="I12:I14 I16:I18">
    <cfRule type="cellIs" dxfId="2913" priority="111" operator="greaterThan">
      <formula>0.03</formula>
    </cfRule>
    <cfRule type="cellIs" dxfId="2912" priority="112" stopIfTrue="1" operator="lessThan">
      <formula>-0.03</formula>
    </cfRule>
  </conditionalFormatting>
  <conditionalFormatting sqref="I12:I14 I16:I18">
    <cfRule type="cellIs" dxfId="2911" priority="113" operator="greaterThan">
      <formula>0.03</formula>
    </cfRule>
    <cfRule type="cellIs" dxfId="2910" priority="114" stopIfTrue="1" operator="lessThan">
      <formula>-0.03</formula>
    </cfRule>
  </conditionalFormatting>
  <conditionalFormatting sqref="I11">
    <cfRule type="cellIs" dxfId="2909" priority="109" operator="greaterThan">
      <formula>0.03</formula>
    </cfRule>
    <cfRule type="cellIs" dxfId="2908" priority="110" stopIfTrue="1" operator="lessThan">
      <formula>-0.03</formula>
    </cfRule>
  </conditionalFormatting>
  <conditionalFormatting sqref="I11">
    <cfRule type="cellIs" dxfId="2907" priority="107" operator="greaterThan">
      <formula>0.03</formula>
    </cfRule>
    <cfRule type="cellIs" dxfId="2906" priority="108" stopIfTrue="1" operator="lessThan">
      <formula>-0.03</formula>
    </cfRule>
  </conditionalFormatting>
  <conditionalFormatting sqref="I11">
    <cfRule type="cellIs" dxfId="2905" priority="105" operator="greaterThan">
      <formula>0.03</formula>
    </cfRule>
    <cfRule type="cellIs" dxfId="2904" priority="106" stopIfTrue="1" operator="lessThan">
      <formula>-0.03</formula>
    </cfRule>
  </conditionalFormatting>
  <conditionalFormatting sqref="I11">
    <cfRule type="cellIs" dxfId="2903" priority="103" operator="greaterThan">
      <formula>0.03</formula>
    </cfRule>
    <cfRule type="cellIs" dxfId="2902" priority="104" stopIfTrue="1" operator="lessThan">
      <formula>-0.03</formula>
    </cfRule>
  </conditionalFormatting>
  <conditionalFormatting sqref="I11">
    <cfRule type="cellIs" dxfId="2901" priority="101" operator="greaterThan">
      <formula>0.03</formula>
    </cfRule>
    <cfRule type="cellIs" dxfId="2900" priority="102" stopIfTrue="1" operator="lessThan">
      <formula>-0.03</formula>
    </cfRule>
  </conditionalFormatting>
  <conditionalFormatting sqref="I24:I26">
    <cfRule type="cellIs" dxfId="2899" priority="79" operator="greaterThan">
      <formula>0.03</formula>
    </cfRule>
    <cfRule type="cellIs" dxfId="2898" priority="80" stopIfTrue="1" operator="lessThan">
      <formula>-0.03</formula>
    </cfRule>
  </conditionalFormatting>
  <conditionalFormatting sqref="I24:I26">
    <cfRule type="cellIs" dxfId="2897" priority="77" operator="greaterThan">
      <formula>0.03</formula>
    </cfRule>
    <cfRule type="cellIs" dxfId="2896" priority="78" stopIfTrue="1" operator="lessThan">
      <formula>-0.03</formula>
    </cfRule>
  </conditionalFormatting>
  <conditionalFormatting sqref="I27">
    <cfRule type="cellIs" dxfId="2895" priority="59" operator="greaterThan">
      <formula>0.03</formula>
    </cfRule>
    <cfRule type="cellIs" dxfId="2894" priority="60" stopIfTrue="1" operator="lessThan">
      <formula>-0.03</formula>
    </cfRule>
  </conditionalFormatting>
  <conditionalFormatting sqref="I27">
    <cfRule type="cellIs" dxfId="2893" priority="57" operator="greaterThan">
      <formula>0.03</formula>
    </cfRule>
    <cfRule type="cellIs" dxfId="2892" priority="58" stopIfTrue="1" operator="lessThan">
      <formula>-0.03</formula>
    </cfRule>
  </conditionalFormatting>
  <conditionalFormatting sqref="I27">
    <cfRule type="cellIs" dxfId="2891" priority="55" operator="greaterThan">
      <formula>0.03</formula>
    </cfRule>
    <cfRule type="cellIs" dxfId="2890" priority="56" stopIfTrue="1" operator="lessThan">
      <formula>-0.03</formula>
    </cfRule>
  </conditionalFormatting>
  <conditionalFormatting sqref="I27">
    <cfRule type="cellIs" dxfId="2889" priority="53" operator="greaterThan">
      <formula>0.03</formula>
    </cfRule>
    <cfRule type="cellIs" dxfId="2888" priority="54" stopIfTrue="1" operator="lessThan">
      <formula>-0.03</formula>
    </cfRule>
  </conditionalFormatting>
  <conditionalFormatting sqref="I27">
    <cfRule type="cellIs" dxfId="2887" priority="51" operator="greaterThan">
      <formula>0.03</formula>
    </cfRule>
    <cfRule type="cellIs" dxfId="2886" priority="52" stopIfTrue="1" operator="lessThan">
      <formula>-0.03</formula>
    </cfRule>
  </conditionalFormatting>
  <conditionalFormatting sqref="I24:I26">
    <cfRule type="cellIs" dxfId="2885" priority="75" operator="greaterThan">
      <formula>0.03</formula>
    </cfRule>
    <cfRule type="cellIs" dxfId="2884" priority="76" stopIfTrue="1" operator="lessThan">
      <formula>-0.03</formula>
    </cfRule>
  </conditionalFormatting>
  <conditionalFormatting sqref="I24:I26">
    <cfRule type="cellIs" dxfId="2883" priority="71" operator="greaterThan">
      <formula>0.03</formula>
    </cfRule>
    <cfRule type="cellIs" dxfId="2882" priority="72" stopIfTrue="1" operator="lessThan">
      <formula>-0.03</formula>
    </cfRule>
  </conditionalFormatting>
  <conditionalFormatting sqref="I24:I26">
    <cfRule type="cellIs" dxfId="2881" priority="73" operator="greaterThan">
      <formula>0.03</formula>
    </cfRule>
    <cfRule type="cellIs" dxfId="2880" priority="74" stopIfTrue="1" operator="lessThan">
      <formula>-0.03</formula>
    </cfRule>
  </conditionalFormatting>
  <conditionalFormatting sqref="I23">
    <cfRule type="cellIs" dxfId="2879" priority="69" operator="greaterThan">
      <formula>0.03</formula>
    </cfRule>
    <cfRule type="cellIs" dxfId="2878" priority="70" stopIfTrue="1" operator="lessThan">
      <formula>-0.03</formula>
    </cfRule>
  </conditionalFormatting>
  <conditionalFormatting sqref="I23">
    <cfRule type="cellIs" dxfId="2877" priority="67" operator="greaterThan">
      <formula>0.03</formula>
    </cfRule>
    <cfRule type="cellIs" dxfId="2876" priority="68" stopIfTrue="1" operator="lessThan">
      <formula>-0.03</formula>
    </cfRule>
  </conditionalFormatting>
  <conditionalFormatting sqref="I23">
    <cfRule type="cellIs" dxfId="2875" priority="65" operator="greaterThan">
      <formula>0.03</formula>
    </cfRule>
    <cfRule type="cellIs" dxfId="2874" priority="66" stopIfTrue="1" operator="lessThan">
      <formula>-0.03</formula>
    </cfRule>
  </conditionalFormatting>
  <conditionalFormatting sqref="I23">
    <cfRule type="cellIs" dxfId="2873" priority="63" operator="greaterThan">
      <formula>0.03</formula>
    </cfRule>
    <cfRule type="cellIs" dxfId="2872" priority="64" stopIfTrue="1" operator="lessThan">
      <formula>-0.03</formula>
    </cfRule>
  </conditionalFormatting>
  <conditionalFormatting sqref="I23">
    <cfRule type="cellIs" dxfId="2871" priority="61" operator="greaterThan">
      <formula>0.03</formula>
    </cfRule>
    <cfRule type="cellIs" dxfId="2870" priority="62" stopIfTrue="1" operator="lessThan">
      <formula>-0.03</formula>
    </cfRule>
  </conditionalFormatting>
  <conditionalFormatting sqref="I4:I6 I8:I10">
    <cfRule type="cellIs" dxfId="2869" priority="49" operator="greaterThan">
      <formula>0.03</formula>
    </cfRule>
    <cfRule type="cellIs" dxfId="2868" priority="50" stopIfTrue="1" operator="lessThan">
      <formula>-0.03</formula>
    </cfRule>
  </conditionalFormatting>
  <conditionalFormatting sqref="I4:I6 I8:I10">
    <cfRule type="cellIs" dxfId="2867" priority="47" operator="greaterThan">
      <formula>0.03</formula>
    </cfRule>
    <cfRule type="cellIs" dxfId="2866" priority="48" stopIfTrue="1" operator="lessThan">
      <formula>-0.03</formula>
    </cfRule>
  </conditionalFormatting>
  <conditionalFormatting sqref="I4:I6 I8:I10">
    <cfRule type="cellIs" dxfId="2865" priority="45" operator="greaterThan">
      <formula>0.03</formula>
    </cfRule>
    <cfRule type="cellIs" dxfId="2864" priority="46" stopIfTrue="1" operator="lessThan">
      <formula>-0.03</formula>
    </cfRule>
  </conditionalFormatting>
  <conditionalFormatting sqref="I4:I6 I8:I10">
    <cfRule type="cellIs" dxfId="2863" priority="41" operator="greaterThan">
      <formula>0.03</formula>
    </cfRule>
    <cfRule type="cellIs" dxfId="2862" priority="42" stopIfTrue="1" operator="lessThan">
      <formula>-0.03</formula>
    </cfRule>
  </conditionalFormatting>
  <conditionalFormatting sqref="I4:I6 I8:I10">
    <cfRule type="cellIs" dxfId="2861" priority="43" operator="greaterThan">
      <formula>0.03</formula>
    </cfRule>
    <cfRule type="cellIs" dxfId="2860" priority="44" stopIfTrue="1" operator="lessThan">
      <formula>-0.03</formula>
    </cfRule>
  </conditionalFormatting>
  <conditionalFormatting sqref="I3">
    <cfRule type="cellIs" dxfId="2859" priority="39" operator="greaterThan">
      <formula>0.03</formula>
    </cfRule>
    <cfRule type="cellIs" dxfId="2858" priority="40" stopIfTrue="1" operator="lessThan">
      <formula>-0.03</formula>
    </cfRule>
  </conditionalFormatting>
  <conditionalFormatting sqref="I3">
    <cfRule type="cellIs" dxfId="2857" priority="37" operator="greaterThan">
      <formula>0.03</formula>
    </cfRule>
    <cfRule type="cellIs" dxfId="2856" priority="38" stopIfTrue="1" operator="lessThan">
      <formula>-0.03</formula>
    </cfRule>
  </conditionalFormatting>
  <conditionalFormatting sqref="I3">
    <cfRule type="cellIs" dxfId="2855" priority="35" operator="greaterThan">
      <formula>0.03</formula>
    </cfRule>
    <cfRule type="cellIs" dxfId="2854" priority="36" stopIfTrue="1" operator="lessThan">
      <formula>-0.03</formula>
    </cfRule>
  </conditionalFormatting>
  <conditionalFormatting sqref="I3">
    <cfRule type="cellIs" dxfId="2853" priority="33" operator="greaterThan">
      <formula>0.03</formula>
    </cfRule>
    <cfRule type="cellIs" dxfId="2852" priority="34" stopIfTrue="1" operator="lessThan">
      <formula>-0.03</formula>
    </cfRule>
  </conditionalFormatting>
  <conditionalFormatting sqref="I3">
    <cfRule type="cellIs" dxfId="2851" priority="31" operator="greaterThan">
      <formula>0.03</formula>
    </cfRule>
    <cfRule type="cellIs" dxfId="2850" priority="32" stopIfTrue="1" operator="lessThan">
      <formula>-0.03</formula>
    </cfRule>
  </conditionalFormatting>
  <conditionalFormatting sqref="I7">
    <cfRule type="cellIs" dxfId="2849" priority="29" operator="greaterThan">
      <formula>0.03</formula>
    </cfRule>
    <cfRule type="cellIs" dxfId="2848" priority="30" stopIfTrue="1" operator="lessThan">
      <formula>-0.03</formula>
    </cfRule>
  </conditionalFormatting>
  <conditionalFormatting sqref="I7">
    <cfRule type="cellIs" dxfId="2847" priority="27" operator="greaterThan">
      <formula>0.03</formula>
    </cfRule>
    <cfRule type="cellIs" dxfId="2846" priority="28" stopIfTrue="1" operator="lessThan">
      <formula>-0.03</formula>
    </cfRule>
  </conditionalFormatting>
  <conditionalFormatting sqref="I7">
    <cfRule type="cellIs" dxfId="2845" priority="25" operator="greaterThan">
      <formula>0.03</formula>
    </cfRule>
    <cfRule type="cellIs" dxfId="2844" priority="26" stopIfTrue="1" operator="lessThan">
      <formula>-0.03</formula>
    </cfRule>
  </conditionalFormatting>
  <conditionalFormatting sqref="I7">
    <cfRule type="cellIs" dxfId="2843" priority="23" operator="greaterThan">
      <formula>0.03</formula>
    </cfRule>
    <cfRule type="cellIs" dxfId="2842" priority="24" stopIfTrue="1" operator="lessThan">
      <formula>-0.03</formula>
    </cfRule>
  </conditionalFormatting>
  <conditionalFormatting sqref="I7">
    <cfRule type="cellIs" dxfId="2841" priority="21" operator="greaterThan">
      <formula>0.03</formula>
    </cfRule>
    <cfRule type="cellIs" dxfId="2840" priority="22" stopIfTrue="1" operator="lessThan">
      <formula>-0.03</formula>
    </cfRule>
  </conditionalFormatting>
  <conditionalFormatting sqref="I15">
    <cfRule type="cellIs" dxfId="2839" priority="19" operator="greaterThan">
      <formula>0.03</formula>
    </cfRule>
    <cfRule type="cellIs" dxfId="2838" priority="20" stopIfTrue="1" operator="lessThan">
      <formula>-0.03</formula>
    </cfRule>
  </conditionalFormatting>
  <conditionalFormatting sqref="I15">
    <cfRule type="cellIs" dxfId="2837" priority="17" operator="greaterThan">
      <formula>0.03</formula>
    </cfRule>
    <cfRule type="cellIs" dxfId="2836" priority="18" stopIfTrue="1" operator="lessThan">
      <formula>-0.03</formula>
    </cfRule>
  </conditionalFormatting>
  <conditionalFormatting sqref="I15">
    <cfRule type="cellIs" dxfId="2835" priority="15" operator="greaterThan">
      <formula>0.03</formula>
    </cfRule>
    <cfRule type="cellIs" dxfId="2834" priority="16" stopIfTrue="1" operator="lessThan">
      <formula>-0.03</formula>
    </cfRule>
  </conditionalFormatting>
  <conditionalFormatting sqref="I15">
    <cfRule type="cellIs" dxfId="2833" priority="13" operator="greaterThan">
      <formula>0.03</formula>
    </cfRule>
    <cfRule type="cellIs" dxfId="2832" priority="14" stopIfTrue="1" operator="lessThan">
      <formula>-0.03</formula>
    </cfRule>
  </conditionalFormatting>
  <conditionalFormatting sqref="I15">
    <cfRule type="cellIs" dxfId="2831" priority="11" operator="greaterThan">
      <formula>0.03</formula>
    </cfRule>
    <cfRule type="cellIs" dxfId="2830" priority="12" stopIfTrue="1" operator="lessThan">
      <formula>-0.03</formula>
    </cfRule>
  </conditionalFormatting>
  <conditionalFormatting sqref="I33">
    <cfRule type="cellIs" dxfId="2829" priority="9" operator="greaterThan">
      <formula>0.03</formula>
    </cfRule>
    <cfRule type="cellIs" dxfId="2828" priority="10" stopIfTrue="1" operator="lessThan">
      <formula>-0.03</formula>
    </cfRule>
  </conditionalFormatting>
  <conditionalFormatting sqref="I33">
    <cfRule type="cellIs" dxfId="2827" priority="7" operator="greaterThan">
      <formula>0.03</formula>
    </cfRule>
    <cfRule type="cellIs" dxfId="2826" priority="8" stopIfTrue="1" operator="lessThan">
      <formula>-0.03</formula>
    </cfRule>
  </conditionalFormatting>
  <conditionalFormatting sqref="I33">
    <cfRule type="cellIs" dxfId="2825" priority="5" operator="greaterThan">
      <formula>0.03</formula>
    </cfRule>
    <cfRule type="cellIs" dxfId="2824" priority="6" stopIfTrue="1" operator="lessThan">
      <formula>-0.03</formula>
    </cfRule>
  </conditionalFormatting>
  <conditionalFormatting sqref="I33">
    <cfRule type="cellIs" dxfId="2823" priority="3" operator="greaterThan">
      <formula>0.03</formula>
    </cfRule>
    <cfRule type="cellIs" dxfId="2822" priority="4" stopIfTrue="1" operator="lessThan">
      <formula>-0.03</formula>
    </cfRule>
  </conditionalFormatting>
  <conditionalFormatting sqref="I33">
    <cfRule type="cellIs" dxfId="2821" priority="1" operator="greaterThan">
      <formula>0.03</formula>
    </cfRule>
    <cfRule type="cellIs" dxfId="2820" priority="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69174-4EB6-4397-B92E-3EF26B2612EC}">
  <dimension ref="A1:I42"/>
  <sheetViews>
    <sheetView zoomScaleNormal="100" workbookViewId="0">
      <selection activeCell="D15" sqref="D15:E22"/>
    </sheetView>
  </sheetViews>
  <sheetFormatPr defaultColWidth="8.875" defaultRowHeight="14.25"/>
  <cols>
    <col min="2" max="2" width="25.375" bestFit="1" customWidth="1"/>
    <col min="3" max="3" width="5.875" bestFit="1" customWidth="1"/>
    <col min="5" max="5" width="8.5" bestFit="1" customWidth="1"/>
    <col min="6" max="6" width="3.625" bestFit="1" customWidth="1"/>
  </cols>
  <sheetData>
    <row r="1" spans="1:9" ht="15" thickBot="1">
      <c r="A1" s="1"/>
      <c r="B1" s="1"/>
      <c r="C1" s="1"/>
      <c r="D1" s="28" t="s">
        <v>25</v>
      </c>
      <c r="E1" s="29"/>
      <c r="F1" s="1"/>
      <c r="G1" s="28" t="s">
        <v>26</v>
      </c>
      <c r="H1" s="29"/>
      <c r="I1" s="25"/>
    </row>
    <row r="2" spans="1:9" ht="15" thickBot="1">
      <c r="A2" s="2"/>
      <c r="B2" s="3"/>
      <c r="C2" s="22" t="s">
        <v>24</v>
      </c>
      <c r="D2" s="13" t="s">
        <v>0</v>
      </c>
      <c r="E2" s="5" t="s">
        <v>31</v>
      </c>
      <c r="F2" s="22" t="s">
        <v>24</v>
      </c>
      <c r="G2" s="13" t="s">
        <v>0</v>
      </c>
      <c r="H2" s="5" t="s">
        <v>31</v>
      </c>
      <c r="I2" s="5" t="s">
        <v>31</v>
      </c>
    </row>
    <row r="3" spans="1:9">
      <c r="A3" s="20" t="s">
        <v>32</v>
      </c>
      <c r="B3" s="24" t="s">
        <v>33</v>
      </c>
      <c r="C3" s="6">
        <v>27</v>
      </c>
      <c r="D3" s="24">
        <v>0.13102494855967001</v>
      </c>
      <c r="E3" s="24">
        <v>34.8230590820312</v>
      </c>
      <c r="F3" s="6">
        <v>27</v>
      </c>
      <c r="G3" s="24">
        <v>0.14995177469135801</v>
      </c>
      <c r="H3" s="24">
        <v>34.983188629150298</v>
      </c>
      <c r="I3" s="7">
        <f>bdrate($D3:$D6,E3:E6,$G3:$G6,H3:H6)</f>
        <v>-7.5728922107672125E-2</v>
      </c>
    </row>
    <row r="4" spans="1:9">
      <c r="A4" s="14" t="s">
        <v>5</v>
      </c>
      <c r="B4" s="16"/>
      <c r="C4" s="8">
        <v>32</v>
      </c>
      <c r="D4" s="24">
        <v>5.5262667181069897E-2</v>
      </c>
      <c r="E4" s="24">
        <v>34.2650337219238</v>
      </c>
      <c r="F4" s="8">
        <v>32</v>
      </c>
      <c r="G4" s="24">
        <v>6.1662487139917697E-2</v>
      </c>
      <c r="H4" s="24">
        <v>34.346721649169901</v>
      </c>
      <c r="I4" s="9"/>
    </row>
    <row r="5" spans="1:9">
      <c r="A5" s="8"/>
      <c r="B5" s="16"/>
      <c r="C5" s="8">
        <v>38</v>
      </c>
      <c r="D5" s="24">
        <v>3.13851916152263E-2</v>
      </c>
      <c r="E5" s="24">
        <v>33.978195190429602</v>
      </c>
      <c r="F5" s="8">
        <v>38</v>
      </c>
      <c r="G5" s="24">
        <v>3.2369470164608997E-2</v>
      </c>
      <c r="H5" s="24">
        <v>34.062736511230398</v>
      </c>
      <c r="I5" s="9"/>
    </row>
    <row r="6" spans="1:9" ht="15" thickBot="1">
      <c r="A6" s="8"/>
      <c r="B6" s="17"/>
      <c r="C6" s="10">
        <v>45</v>
      </c>
      <c r="D6" s="24">
        <v>1.7379275977366201E-2</v>
      </c>
      <c r="E6" s="24">
        <v>33.604076385497997</v>
      </c>
      <c r="F6" s="10">
        <v>45</v>
      </c>
      <c r="G6" s="24">
        <v>1.7896412037036999E-2</v>
      </c>
      <c r="H6" s="24">
        <v>33.771053314208899</v>
      </c>
      <c r="I6" s="2"/>
    </row>
    <row r="7" spans="1:9">
      <c r="A7" s="8"/>
      <c r="B7" s="24" t="s">
        <v>34</v>
      </c>
      <c r="C7" s="6">
        <v>27</v>
      </c>
      <c r="D7" s="24">
        <v>5.6991062242798297E-2</v>
      </c>
      <c r="E7" s="24">
        <v>39.6392211914062</v>
      </c>
      <c r="F7" s="6">
        <v>27</v>
      </c>
      <c r="G7" s="24">
        <v>4.3428819444444398E-2</v>
      </c>
      <c r="H7" s="24">
        <v>40.266078948974602</v>
      </c>
      <c r="I7" s="7">
        <f>bdrate($D7:$D10,E7:E10,$G7:$G10,H7:H10)</f>
        <v>-0.41360448695561913</v>
      </c>
    </row>
    <row r="8" spans="1:9">
      <c r="A8" s="8"/>
      <c r="B8" s="16"/>
      <c r="C8" s="8">
        <v>32</v>
      </c>
      <c r="D8" s="24">
        <v>3.5741705246913502E-2</v>
      </c>
      <c r="E8" s="24">
        <v>38.532684326171797</v>
      </c>
      <c r="F8" s="8">
        <v>32</v>
      </c>
      <c r="G8" s="24">
        <v>2.8254886831275701E-2</v>
      </c>
      <c r="H8" s="24">
        <v>39.311233520507798</v>
      </c>
      <c r="I8" s="9"/>
    </row>
    <row r="9" spans="1:9">
      <c r="A9" s="8"/>
      <c r="B9" s="16"/>
      <c r="C9" s="8">
        <v>38</v>
      </c>
      <c r="D9" s="24">
        <v>2.3069862397119299E-2</v>
      </c>
      <c r="E9" s="24">
        <v>37.331943511962798</v>
      </c>
      <c r="F9" s="8">
        <v>38</v>
      </c>
      <c r="G9" s="24">
        <v>1.90936856995884E-2</v>
      </c>
      <c r="H9" s="24">
        <v>38.329742431640597</v>
      </c>
      <c r="I9" s="9"/>
    </row>
    <row r="10" spans="1:9" ht="15" thickBot="1">
      <c r="A10" s="8"/>
      <c r="B10" s="17"/>
      <c r="C10" s="10">
        <v>45</v>
      </c>
      <c r="D10" s="24">
        <v>1.4155414094650201E-2</v>
      </c>
      <c r="E10" s="24">
        <v>35.686119079589801</v>
      </c>
      <c r="F10" s="10">
        <v>45</v>
      </c>
      <c r="G10" s="24">
        <v>1.26295653292181E-2</v>
      </c>
      <c r="H10" s="24">
        <v>36.921363830566399</v>
      </c>
      <c r="I10" s="9"/>
    </row>
    <row r="11" spans="1:9">
      <c r="A11" s="14"/>
      <c r="B11" s="24" t="s">
        <v>35</v>
      </c>
      <c r="C11" s="6">
        <v>27</v>
      </c>
      <c r="D11" s="24">
        <v>2.2645318930041101E-2</v>
      </c>
      <c r="E11" s="24">
        <v>37.742992401122997</v>
      </c>
      <c r="F11" s="6">
        <v>27</v>
      </c>
      <c r="G11" s="24">
        <v>2.0977687757201598E-2</v>
      </c>
      <c r="H11" s="24">
        <v>38.315940856933501</v>
      </c>
      <c r="I11" s="7">
        <f>bdrate($D11:$D14,E11:E14,$G11:$G14,H11:H14)</f>
        <v>-0.38918382016020592</v>
      </c>
    </row>
    <row r="12" spans="1:9">
      <c r="A12" s="14"/>
      <c r="B12" s="16"/>
      <c r="C12" s="8">
        <v>32</v>
      </c>
      <c r="D12" s="24">
        <v>1.62069187242798E-2</v>
      </c>
      <c r="E12" s="24">
        <v>37.486782073974602</v>
      </c>
      <c r="F12" s="8">
        <v>32</v>
      </c>
      <c r="G12" s="24">
        <v>1.55012217078189E-2</v>
      </c>
      <c r="H12" s="24">
        <v>38.1356811523437</v>
      </c>
      <c r="I12" s="9"/>
    </row>
    <row r="13" spans="1:9">
      <c r="A13" s="8"/>
      <c r="B13" s="16"/>
      <c r="C13" s="8">
        <v>38</v>
      </c>
      <c r="D13" s="24">
        <v>1.22326710390946E-2</v>
      </c>
      <c r="E13" s="24">
        <v>37.098365783691399</v>
      </c>
      <c r="F13" s="8">
        <v>38</v>
      </c>
      <c r="G13" s="24">
        <v>1.1842046039094599E-2</v>
      </c>
      <c r="H13" s="24">
        <v>37.829761505126903</v>
      </c>
      <c r="I13" s="9"/>
    </row>
    <row r="14" spans="1:9" ht="15" thickBot="1">
      <c r="A14" s="8"/>
      <c r="B14" s="17"/>
      <c r="C14" s="10">
        <v>45</v>
      </c>
      <c r="D14" s="24">
        <v>9.0432098765432095E-3</v>
      </c>
      <c r="E14" s="24">
        <v>36.139297485351499</v>
      </c>
      <c r="F14" s="10">
        <v>45</v>
      </c>
      <c r="G14" s="24">
        <v>8.75562628600823E-3</v>
      </c>
      <c r="H14" s="24">
        <v>37.125286102294901</v>
      </c>
      <c r="I14" s="2"/>
    </row>
    <row r="15" spans="1:9">
      <c r="A15" s="8"/>
      <c r="B15" s="24" t="s">
        <v>36</v>
      </c>
      <c r="C15" s="6">
        <v>27</v>
      </c>
      <c r="D15" s="24">
        <v>6.2148598251028801E-2</v>
      </c>
      <c r="E15" s="24">
        <v>38.771438598632798</v>
      </c>
      <c r="F15" s="6">
        <v>27</v>
      </c>
      <c r="G15" s="24">
        <v>0.114094971707818</v>
      </c>
      <c r="H15" s="24">
        <v>38.863517761230398</v>
      </c>
      <c r="I15" s="7">
        <f>bdrate($D15:$D18,E15:E18,$G15:$G18,H15:H18)</f>
        <v>0.95056327231396409</v>
      </c>
    </row>
    <row r="16" spans="1:9">
      <c r="A16" s="8"/>
      <c r="B16" s="16"/>
      <c r="C16" s="8">
        <v>32</v>
      </c>
      <c r="D16" s="24">
        <v>4.2090727880658402E-2</v>
      </c>
      <c r="E16" s="24">
        <v>38.169677734375</v>
      </c>
      <c r="F16" s="8">
        <v>32</v>
      </c>
      <c r="G16" s="24">
        <v>7.9103652263374402E-2</v>
      </c>
      <c r="H16" s="24">
        <v>38.121150970458899</v>
      </c>
      <c r="I16" s="9"/>
    </row>
    <row r="17" spans="1:9">
      <c r="A17" s="8"/>
      <c r="B17" s="16"/>
      <c r="C17" s="8">
        <v>38</v>
      </c>
      <c r="D17" s="24">
        <v>3.03526877572016E-2</v>
      </c>
      <c r="E17" s="24">
        <v>37.487010955810497</v>
      </c>
      <c r="F17" s="8">
        <v>38</v>
      </c>
      <c r="G17" s="24">
        <v>5.6387442129629602E-2</v>
      </c>
      <c r="H17" s="24">
        <v>37.248191833496001</v>
      </c>
      <c r="I17" s="9"/>
    </row>
    <row r="18" spans="1:9" ht="15" thickBot="1">
      <c r="A18" s="8"/>
      <c r="B18" s="17"/>
      <c r="C18" s="10">
        <v>45</v>
      </c>
      <c r="D18" s="24">
        <v>2.1547228652263301E-2</v>
      </c>
      <c r="E18" s="24">
        <v>36.276405334472599</v>
      </c>
      <c r="F18" s="10">
        <v>45</v>
      </c>
      <c r="G18" s="24">
        <v>3.7290380658436199E-2</v>
      </c>
      <c r="H18" s="24">
        <v>35.964393615722599</v>
      </c>
      <c r="I18" s="9"/>
    </row>
    <row r="19" spans="1:9">
      <c r="A19" s="8"/>
      <c r="B19" s="24" t="s">
        <v>37</v>
      </c>
      <c r="C19" s="6">
        <v>27</v>
      </c>
      <c r="D19" s="24">
        <v>8.2705118312757203E-2</v>
      </c>
      <c r="E19" s="24">
        <v>38.5883178710937</v>
      </c>
      <c r="F19" s="6">
        <v>27</v>
      </c>
      <c r="G19" s="24">
        <v>0.100938946759259</v>
      </c>
      <c r="H19" s="24">
        <v>38.888771057128899</v>
      </c>
      <c r="I19" s="7">
        <f>bdrate($D19:$D22,E19:E22,$G19:$G22,H19:H22)</f>
        <v>0.1674901367998749</v>
      </c>
    </row>
    <row r="20" spans="1:9">
      <c r="A20" s="8"/>
      <c r="B20" s="16"/>
      <c r="C20" s="8">
        <v>32</v>
      </c>
      <c r="D20" s="24">
        <v>5.8443126286008201E-2</v>
      </c>
      <c r="E20" s="24">
        <v>37.604438781738203</v>
      </c>
      <c r="F20" s="8">
        <v>32</v>
      </c>
      <c r="G20" s="24">
        <v>7.3883584104938199E-2</v>
      </c>
      <c r="H20" s="24">
        <v>37.951816558837798</v>
      </c>
      <c r="I20" s="9"/>
    </row>
    <row r="21" spans="1:9">
      <c r="A21" s="8"/>
      <c r="B21" s="16"/>
      <c r="C21" s="8">
        <v>38</v>
      </c>
      <c r="D21" s="24">
        <v>4.1622620884773601E-2</v>
      </c>
      <c r="E21" s="24">
        <v>36.537948608398402</v>
      </c>
      <c r="F21" s="8">
        <v>38</v>
      </c>
      <c r="G21" s="24">
        <v>5.3500996656378599E-2</v>
      </c>
      <c r="H21" s="24">
        <v>36.825939178466797</v>
      </c>
      <c r="I21" s="9"/>
    </row>
    <row r="22" spans="1:9" ht="15" thickBot="1">
      <c r="A22" s="8"/>
      <c r="B22" s="17"/>
      <c r="C22" s="10">
        <v>45</v>
      </c>
      <c r="D22" s="24">
        <v>2.8709972993827101E-2</v>
      </c>
      <c r="E22" s="24">
        <v>34.842987060546797</v>
      </c>
      <c r="F22" s="10">
        <v>45</v>
      </c>
      <c r="G22" s="24">
        <v>3.6098572530864098E-2</v>
      </c>
      <c r="H22" s="24">
        <v>35.103118896484297</v>
      </c>
      <c r="I22" s="2"/>
    </row>
    <row r="23" spans="1:9">
      <c r="A23" s="26"/>
      <c r="B23" s="24" t="s">
        <v>38</v>
      </c>
      <c r="C23" s="6">
        <v>27</v>
      </c>
      <c r="D23" s="24">
        <v>0.22560731738683101</v>
      </c>
      <c r="E23" s="24">
        <v>37.335689544677699</v>
      </c>
      <c r="F23" s="6">
        <v>27</v>
      </c>
      <c r="G23" s="24">
        <v>0.22888374485596699</v>
      </c>
      <c r="H23" s="24">
        <v>37.755332946777301</v>
      </c>
      <c r="I23" s="7">
        <f>bdrate($D23:$D26,E23:E26,$G23:$G26,H23:H26)</f>
        <v>-0.16821230506769747</v>
      </c>
    </row>
    <row r="24" spans="1:9">
      <c r="A24" s="14"/>
      <c r="B24" s="16"/>
      <c r="C24" s="8">
        <v>32</v>
      </c>
      <c r="D24" s="24">
        <v>0.147040412808641</v>
      </c>
      <c r="E24" s="24">
        <v>36.262279510497997</v>
      </c>
      <c r="F24" s="8">
        <v>32</v>
      </c>
      <c r="G24" s="24">
        <v>0.14863522376543201</v>
      </c>
      <c r="H24" s="24">
        <v>36.737716674804602</v>
      </c>
      <c r="I24" s="9"/>
    </row>
    <row r="25" spans="1:9">
      <c r="A25" s="8"/>
      <c r="B25" s="16"/>
      <c r="C25" s="8">
        <v>38</v>
      </c>
      <c r="D25" s="24">
        <v>9.3587159207818904E-2</v>
      </c>
      <c r="E25" s="24">
        <v>35.0457954406738</v>
      </c>
      <c r="F25" s="8">
        <v>38</v>
      </c>
      <c r="G25" s="24">
        <v>9.5174093364197507E-2</v>
      </c>
      <c r="H25" s="24">
        <v>35.590343475341797</v>
      </c>
      <c r="I25" s="9"/>
    </row>
    <row r="26" spans="1:9" ht="15" thickBot="1">
      <c r="A26" s="8"/>
      <c r="B26" s="17"/>
      <c r="C26" s="10">
        <v>45</v>
      </c>
      <c r="D26" s="24">
        <v>4.81828703703703E-2</v>
      </c>
      <c r="E26" s="24">
        <v>33.254096984863203</v>
      </c>
      <c r="F26" s="10">
        <v>45</v>
      </c>
      <c r="G26" s="24">
        <v>5.0507812499999999E-2</v>
      </c>
      <c r="H26" s="24">
        <v>33.9136352539062</v>
      </c>
      <c r="I26" s="2"/>
    </row>
    <row r="27" spans="1:9">
      <c r="A27" s="8"/>
      <c r="B27" s="24" t="s">
        <v>39</v>
      </c>
      <c r="C27" s="6">
        <v>27</v>
      </c>
      <c r="D27" s="24">
        <v>0.15639387217078099</v>
      </c>
      <c r="E27" s="24">
        <v>39.489189147949197</v>
      </c>
      <c r="F27" s="6">
        <v>27</v>
      </c>
      <c r="G27" s="24">
        <v>0.15826195987654301</v>
      </c>
      <c r="H27" s="24">
        <v>39.695892333984297</v>
      </c>
      <c r="I27" s="7">
        <f>bdrate($D27:$D30,E27:E30,$G27:$G30,H27:H30)</f>
        <v>-7.7486884697537839E-2</v>
      </c>
    </row>
    <row r="28" spans="1:9">
      <c r="A28" s="8"/>
      <c r="B28" s="16"/>
      <c r="C28" s="8">
        <v>32</v>
      </c>
      <c r="D28" s="24">
        <v>0.10866480195473199</v>
      </c>
      <c r="E28" s="24">
        <v>38.256629943847599</v>
      </c>
      <c r="F28" s="8">
        <v>32</v>
      </c>
      <c r="G28" s="24">
        <v>0.109032278806584</v>
      </c>
      <c r="H28" s="24">
        <v>38.528038024902301</v>
      </c>
      <c r="I28" s="9"/>
    </row>
    <row r="29" spans="1:9">
      <c r="A29" s="8"/>
      <c r="B29" s="16"/>
      <c r="C29" s="8">
        <v>38</v>
      </c>
      <c r="D29" s="24">
        <v>7.4816743827160498E-2</v>
      </c>
      <c r="E29" s="24">
        <v>36.910957336425703</v>
      </c>
      <c r="F29" s="8">
        <v>38</v>
      </c>
      <c r="G29" s="24">
        <v>7.3922485853909398E-2</v>
      </c>
      <c r="H29" s="24">
        <v>37.172889709472599</v>
      </c>
      <c r="I29" s="9"/>
    </row>
    <row r="30" spans="1:9" ht="15" thickBot="1">
      <c r="A30" s="8"/>
      <c r="B30" s="17"/>
      <c r="C30" s="10">
        <v>45</v>
      </c>
      <c r="D30" s="24">
        <v>4.4689911265432099E-2</v>
      </c>
      <c r="E30" s="24">
        <v>34.934749603271399</v>
      </c>
      <c r="F30" s="10">
        <v>45</v>
      </c>
      <c r="G30" s="24">
        <v>4.4114101080246902E-2</v>
      </c>
      <c r="H30" s="24">
        <v>35.250408172607401</v>
      </c>
      <c r="I30" s="2"/>
    </row>
    <row r="31" spans="1:9" ht="15" thickBot="1">
      <c r="A31" s="11"/>
      <c r="B31" s="4" t="s">
        <v>2</v>
      </c>
      <c r="C31" s="18"/>
      <c r="D31" s="11"/>
      <c r="E31" s="18"/>
      <c r="F31" s="18"/>
      <c r="G31" s="11"/>
      <c r="H31" s="18"/>
      <c r="I31" s="19">
        <f>AVERAGE(I3:I30)</f>
        <v>-8.8042998212764111E-4</v>
      </c>
    </row>
    <row r="32" spans="1:9" ht="15" thickBot="1">
      <c r="A32" s="9"/>
      <c r="B32" s="12"/>
      <c r="C32" s="12"/>
      <c r="D32" s="12"/>
      <c r="E32" s="12"/>
      <c r="F32" s="12"/>
      <c r="G32" s="12"/>
      <c r="H32" s="12"/>
    </row>
    <row r="33" spans="1:9">
      <c r="A33" s="12"/>
      <c r="B33" s="12" t="s">
        <v>70</v>
      </c>
      <c r="C33" s="12"/>
      <c r="D33" s="12">
        <f>AVERAGE(D3,D7,D11,D15,D19,D23,D27)</f>
        <v>0.10535946226484391</v>
      </c>
      <c r="E33" s="12">
        <f>AVERAGE(E3,E7,E11,E15,E19,E23,E27)</f>
        <v>38.05570111955911</v>
      </c>
      <c r="F33" s="12"/>
      <c r="G33" s="12">
        <f>AVERAGE(G3,G7,G11,G15,G19,G23,G27)</f>
        <v>0.11664827215608443</v>
      </c>
      <c r="H33" s="12">
        <f>AVERAGE(H3,H7,H11,H15,H19,H23,H27)</f>
        <v>38.39553179059704</v>
      </c>
      <c r="I33" s="7">
        <f>bdrate($D33:$D36,E33:E36,$G33:$G36,H33:H36)</f>
        <v>-6.2662010629290221E-2</v>
      </c>
    </row>
    <row r="34" spans="1:9">
      <c r="A34" s="12"/>
      <c r="B34" s="12"/>
      <c r="C34" s="12"/>
      <c r="D34" s="12">
        <f t="shared" ref="D34:E36" si="0">AVERAGE(D4,D8,D12,D16,D20,D24,D28)</f>
        <v>6.6207194297471836E-2</v>
      </c>
      <c r="E34" s="12">
        <f t="shared" si="0"/>
        <v>37.225360870361278</v>
      </c>
      <c r="F34" s="12"/>
      <c r="G34" s="12">
        <f t="shared" ref="G34:H36" si="1">AVERAGE(G4,G8,G12,G16,G20,G24,G28)</f>
        <v>7.3724762088477266E-2</v>
      </c>
      <c r="H34" s="12">
        <f t="shared" si="1"/>
        <v>37.590336935860712</v>
      </c>
    </row>
    <row r="35" spans="1:9">
      <c r="A35" s="12"/>
      <c r="B35" s="12"/>
      <c r="C35" s="12"/>
      <c r="D35" s="12">
        <f t="shared" si="0"/>
        <v>4.3866705246913544E-2</v>
      </c>
      <c r="E35" s="12">
        <f t="shared" si="0"/>
        <v>36.341459546770317</v>
      </c>
      <c r="F35" s="12"/>
      <c r="G35" s="12">
        <f t="shared" si="1"/>
        <v>4.8898602843915305E-2</v>
      </c>
      <c r="H35" s="12">
        <f t="shared" si="1"/>
        <v>36.722800663539303</v>
      </c>
    </row>
    <row r="36" spans="1:9">
      <c r="A36" s="12"/>
      <c r="B36" s="12"/>
      <c r="C36" s="12"/>
      <c r="D36" s="12">
        <f t="shared" si="0"/>
        <v>2.6243983318636057E-2</v>
      </c>
      <c r="E36" s="12">
        <f t="shared" si="0"/>
        <v>34.962533133370471</v>
      </c>
      <c r="F36" s="12"/>
      <c r="G36" s="12">
        <f t="shared" si="1"/>
        <v>2.961321006025865E-2</v>
      </c>
      <c r="H36" s="12">
        <f t="shared" si="1"/>
        <v>35.435608455112956</v>
      </c>
    </row>
    <row r="37" spans="1:9">
      <c r="A37" s="12"/>
      <c r="B37" s="12"/>
      <c r="C37" s="12"/>
      <c r="D37" s="12"/>
      <c r="E37" s="12"/>
      <c r="F37" s="12"/>
      <c r="G37" s="12"/>
      <c r="H37" s="12"/>
    </row>
    <row r="38" spans="1:9">
      <c r="A38" s="12"/>
      <c r="B38" s="12"/>
      <c r="C38" s="12"/>
      <c r="D38" s="12"/>
      <c r="E38" s="12"/>
      <c r="F38" s="12"/>
      <c r="G38" s="12"/>
      <c r="H38" s="12"/>
    </row>
    <row r="39" spans="1:9">
      <c r="A39" s="12"/>
    </row>
    <row r="40" spans="1:9">
      <c r="A40" s="12"/>
    </row>
    <row r="41" spans="1:9">
      <c r="A41" s="12"/>
    </row>
    <row r="42" spans="1:9">
      <c r="A42" s="12"/>
    </row>
  </sheetData>
  <mergeCells count="2">
    <mergeCell ref="D1:E1"/>
    <mergeCell ref="G1:H1"/>
  </mergeCells>
  <phoneticPr fontId="1" type="noConversion"/>
  <conditionalFormatting sqref="I31">
    <cfRule type="cellIs" dxfId="2819" priority="135" operator="greaterThan">
      <formula>0.03</formula>
    </cfRule>
    <cfRule type="cellIs" dxfId="2818" priority="136" stopIfTrue="1" operator="lessThan">
      <formula>-0.03</formula>
    </cfRule>
  </conditionalFormatting>
  <conditionalFormatting sqref="I31">
    <cfRule type="cellIs" dxfId="2817" priority="133" operator="greaterThan">
      <formula>0.03</formula>
    </cfRule>
    <cfRule type="cellIs" dxfId="2816" priority="134" stopIfTrue="1" operator="lessThan">
      <formula>-0.03</formula>
    </cfRule>
  </conditionalFormatting>
  <conditionalFormatting sqref="I31">
    <cfRule type="cellIs" dxfId="2815" priority="131" operator="greaterThan">
      <formula>0.03</formula>
    </cfRule>
    <cfRule type="cellIs" dxfId="2814" priority="132" stopIfTrue="1" operator="lessThan">
      <formula>-0.03</formula>
    </cfRule>
  </conditionalFormatting>
  <conditionalFormatting sqref="I31">
    <cfRule type="cellIs" dxfId="2813" priority="139" operator="greaterThan">
      <formula>0.03</formula>
    </cfRule>
    <cfRule type="cellIs" dxfId="2812" priority="140" stopIfTrue="1" operator="lessThan">
      <formula>-0.03</formula>
    </cfRule>
  </conditionalFormatting>
  <conditionalFormatting sqref="I31">
    <cfRule type="cellIs" dxfId="2811" priority="137" operator="greaterThan">
      <formula>0.03</formula>
    </cfRule>
    <cfRule type="cellIs" dxfId="2810" priority="138" stopIfTrue="1" operator="lessThan">
      <formula>-0.03</formula>
    </cfRule>
  </conditionalFormatting>
  <conditionalFormatting sqref="I12:I14 I16:I18">
    <cfRule type="cellIs" dxfId="2809" priority="119" operator="greaterThan">
      <formula>0.03</formula>
    </cfRule>
    <cfRule type="cellIs" dxfId="2808" priority="120" stopIfTrue="1" operator="lessThan">
      <formula>-0.03</formula>
    </cfRule>
  </conditionalFormatting>
  <conditionalFormatting sqref="I12:I14 I16:I18">
    <cfRule type="cellIs" dxfId="2807" priority="117" operator="greaterThan">
      <formula>0.03</formula>
    </cfRule>
    <cfRule type="cellIs" dxfId="2806" priority="118" stopIfTrue="1" operator="lessThan">
      <formula>-0.03</formula>
    </cfRule>
  </conditionalFormatting>
  <conditionalFormatting sqref="I28:I30">
    <cfRule type="cellIs" dxfId="2805" priority="89" operator="greaterThan">
      <formula>0.03</formula>
    </cfRule>
    <cfRule type="cellIs" dxfId="2804" priority="90" stopIfTrue="1" operator="lessThan">
      <formula>-0.03</formula>
    </cfRule>
  </conditionalFormatting>
  <conditionalFormatting sqref="I28:I30">
    <cfRule type="cellIs" dxfId="2803" priority="87" operator="greaterThan">
      <formula>0.03</formula>
    </cfRule>
    <cfRule type="cellIs" dxfId="2802" priority="88" stopIfTrue="1" operator="lessThan">
      <formula>-0.03</formula>
    </cfRule>
  </conditionalFormatting>
  <conditionalFormatting sqref="I28:I30">
    <cfRule type="cellIs" dxfId="2801" priority="85" operator="greaterThan">
      <formula>0.03</formula>
    </cfRule>
    <cfRule type="cellIs" dxfId="2800" priority="86" stopIfTrue="1" operator="lessThan">
      <formula>-0.03</formula>
    </cfRule>
  </conditionalFormatting>
  <conditionalFormatting sqref="I28:I30">
    <cfRule type="cellIs" dxfId="2799" priority="83" operator="greaterThan">
      <formula>0.03</formula>
    </cfRule>
    <cfRule type="cellIs" dxfId="2798" priority="84" stopIfTrue="1" operator="lessThan">
      <formula>-0.03</formula>
    </cfRule>
  </conditionalFormatting>
  <conditionalFormatting sqref="I28:I30">
    <cfRule type="cellIs" dxfId="2797" priority="81" operator="greaterThan">
      <formula>0.03</formula>
    </cfRule>
    <cfRule type="cellIs" dxfId="2796" priority="82" stopIfTrue="1" operator="lessThan">
      <formula>-0.03</formula>
    </cfRule>
  </conditionalFormatting>
  <conditionalFormatting sqref="I20:I22">
    <cfRule type="cellIs" dxfId="2795" priority="125" operator="greaterThan">
      <formula>0.03</formula>
    </cfRule>
    <cfRule type="cellIs" dxfId="2794" priority="126" stopIfTrue="1" operator="lessThan">
      <formula>-0.03</formula>
    </cfRule>
  </conditionalFormatting>
  <conditionalFormatting sqref="I19">
    <cfRule type="cellIs" dxfId="2793" priority="99" operator="greaterThan">
      <formula>0.03</formula>
    </cfRule>
    <cfRule type="cellIs" dxfId="2792" priority="100" stopIfTrue="1" operator="lessThan">
      <formula>-0.03</formula>
    </cfRule>
  </conditionalFormatting>
  <conditionalFormatting sqref="I19">
    <cfRule type="cellIs" dxfId="2791" priority="97" operator="greaterThan">
      <formula>0.03</formula>
    </cfRule>
    <cfRule type="cellIs" dxfId="2790" priority="98" stopIfTrue="1" operator="lessThan">
      <formula>-0.03</formula>
    </cfRule>
  </conditionalFormatting>
  <conditionalFormatting sqref="I19">
    <cfRule type="cellIs" dxfId="2789" priority="95" operator="greaterThan">
      <formula>0.03</formula>
    </cfRule>
    <cfRule type="cellIs" dxfId="2788" priority="96" stopIfTrue="1" operator="lessThan">
      <formula>-0.03</formula>
    </cfRule>
  </conditionalFormatting>
  <conditionalFormatting sqref="I19">
    <cfRule type="cellIs" dxfId="2787" priority="93" operator="greaterThan">
      <formula>0.03</formula>
    </cfRule>
    <cfRule type="cellIs" dxfId="2786" priority="94" stopIfTrue="1" operator="lessThan">
      <formula>-0.03</formula>
    </cfRule>
  </conditionalFormatting>
  <conditionalFormatting sqref="I19">
    <cfRule type="cellIs" dxfId="2785" priority="91" operator="greaterThan">
      <formula>0.03</formula>
    </cfRule>
    <cfRule type="cellIs" dxfId="2784" priority="92" stopIfTrue="1" operator="lessThan">
      <formula>-0.03</formula>
    </cfRule>
  </conditionalFormatting>
  <conditionalFormatting sqref="I20:I22">
    <cfRule type="cellIs" dxfId="2783" priority="129" operator="greaterThan">
      <formula>0.03</formula>
    </cfRule>
    <cfRule type="cellIs" dxfId="2782" priority="130" stopIfTrue="1" operator="lessThan">
      <formula>-0.03</formula>
    </cfRule>
  </conditionalFormatting>
  <conditionalFormatting sqref="I20:I22">
    <cfRule type="cellIs" dxfId="2781" priority="127" operator="greaterThan">
      <formula>0.03</formula>
    </cfRule>
    <cfRule type="cellIs" dxfId="2780" priority="128" stopIfTrue="1" operator="lessThan">
      <formula>-0.03</formula>
    </cfRule>
  </conditionalFormatting>
  <conditionalFormatting sqref="I12:I14 I16:I18">
    <cfRule type="cellIs" dxfId="2779" priority="115" operator="greaterThan">
      <formula>0.03</formula>
    </cfRule>
    <cfRule type="cellIs" dxfId="2778" priority="116" stopIfTrue="1" operator="lessThan">
      <formula>-0.03</formula>
    </cfRule>
  </conditionalFormatting>
  <conditionalFormatting sqref="I20:I22">
    <cfRule type="cellIs" dxfId="2777" priority="123" operator="greaterThan">
      <formula>0.03</formula>
    </cfRule>
    <cfRule type="cellIs" dxfId="2776" priority="124" stopIfTrue="1" operator="lessThan">
      <formula>-0.03</formula>
    </cfRule>
  </conditionalFormatting>
  <conditionalFormatting sqref="I20:I22">
    <cfRule type="cellIs" dxfId="2775" priority="121" operator="greaterThan">
      <formula>0.03</formula>
    </cfRule>
    <cfRule type="cellIs" dxfId="2774" priority="122" stopIfTrue="1" operator="lessThan">
      <formula>-0.03</formula>
    </cfRule>
  </conditionalFormatting>
  <conditionalFormatting sqref="I12:I14 I16:I18">
    <cfRule type="cellIs" dxfId="2773" priority="111" operator="greaterThan">
      <formula>0.03</formula>
    </cfRule>
    <cfRule type="cellIs" dxfId="2772" priority="112" stopIfTrue="1" operator="lessThan">
      <formula>-0.03</formula>
    </cfRule>
  </conditionalFormatting>
  <conditionalFormatting sqref="I12:I14 I16:I18">
    <cfRule type="cellIs" dxfId="2771" priority="113" operator="greaterThan">
      <formula>0.03</formula>
    </cfRule>
    <cfRule type="cellIs" dxfId="2770" priority="114" stopIfTrue="1" operator="lessThan">
      <formula>-0.03</formula>
    </cfRule>
  </conditionalFormatting>
  <conditionalFormatting sqref="I11">
    <cfRule type="cellIs" dxfId="2769" priority="109" operator="greaterThan">
      <formula>0.03</formula>
    </cfRule>
    <cfRule type="cellIs" dxfId="2768" priority="110" stopIfTrue="1" operator="lessThan">
      <formula>-0.03</formula>
    </cfRule>
  </conditionalFormatting>
  <conditionalFormatting sqref="I11">
    <cfRule type="cellIs" dxfId="2767" priority="107" operator="greaterThan">
      <formula>0.03</formula>
    </cfRule>
    <cfRule type="cellIs" dxfId="2766" priority="108" stopIfTrue="1" operator="lessThan">
      <formula>-0.03</formula>
    </cfRule>
  </conditionalFormatting>
  <conditionalFormatting sqref="I11">
    <cfRule type="cellIs" dxfId="2765" priority="105" operator="greaterThan">
      <formula>0.03</formula>
    </cfRule>
    <cfRule type="cellIs" dxfId="2764" priority="106" stopIfTrue="1" operator="lessThan">
      <formula>-0.03</formula>
    </cfRule>
  </conditionalFormatting>
  <conditionalFormatting sqref="I11">
    <cfRule type="cellIs" dxfId="2763" priority="103" operator="greaterThan">
      <formula>0.03</formula>
    </cfRule>
    <cfRule type="cellIs" dxfId="2762" priority="104" stopIfTrue="1" operator="lessThan">
      <formula>-0.03</formula>
    </cfRule>
  </conditionalFormatting>
  <conditionalFormatting sqref="I11">
    <cfRule type="cellIs" dxfId="2761" priority="101" operator="greaterThan">
      <formula>0.03</formula>
    </cfRule>
    <cfRule type="cellIs" dxfId="2760" priority="102" stopIfTrue="1" operator="lessThan">
      <formula>-0.03</formula>
    </cfRule>
  </conditionalFormatting>
  <conditionalFormatting sqref="I24:I26">
    <cfRule type="cellIs" dxfId="2759" priority="79" operator="greaterThan">
      <formula>0.03</formula>
    </cfRule>
    <cfRule type="cellIs" dxfId="2758" priority="80" stopIfTrue="1" operator="lessThan">
      <formula>-0.03</formula>
    </cfRule>
  </conditionalFormatting>
  <conditionalFormatting sqref="I24:I26">
    <cfRule type="cellIs" dxfId="2757" priority="77" operator="greaterThan">
      <formula>0.03</formula>
    </cfRule>
    <cfRule type="cellIs" dxfId="2756" priority="78" stopIfTrue="1" operator="lessThan">
      <formula>-0.03</formula>
    </cfRule>
  </conditionalFormatting>
  <conditionalFormatting sqref="I27">
    <cfRule type="cellIs" dxfId="2755" priority="59" operator="greaterThan">
      <formula>0.03</formula>
    </cfRule>
    <cfRule type="cellIs" dxfId="2754" priority="60" stopIfTrue="1" operator="lessThan">
      <formula>-0.03</formula>
    </cfRule>
  </conditionalFormatting>
  <conditionalFormatting sqref="I27">
    <cfRule type="cellIs" dxfId="2753" priority="57" operator="greaterThan">
      <formula>0.03</formula>
    </cfRule>
    <cfRule type="cellIs" dxfId="2752" priority="58" stopIfTrue="1" operator="lessThan">
      <formula>-0.03</formula>
    </cfRule>
  </conditionalFormatting>
  <conditionalFormatting sqref="I27">
    <cfRule type="cellIs" dxfId="2751" priority="55" operator="greaterThan">
      <formula>0.03</formula>
    </cfRule>
    <cfRule type="cellIs" dxfId="2750" priority="56" stopIfTrue="1" operator="lessThan">
      <formula>-0.03</formula>
    </cfRule>
  </conditionalFormatting>
  <conditionalFormatting sqref="I27">
    <cfRule type="cellIs" dxfId="2749" priority="53" operator="greaterThan">
      <formula>0.03</formula>
    </cfRule>
    <cfRule type="cellIs" dxfId="2748" priority="54" stopIfTrue="1" operator="lessThan">
      <formula>-0.03</formula>
    </cfRule>
  </conditionalFormatting>
  <conditionalFormatting sqref="I27">
    <cfRule type="cellIs" dxfId="2747" priority="51" operator="greaterThan">
      <formula>0.03</formula>
    </cfRule>
    <cfRule type="cellIs" dxfId="2746" priority="52" stopIfTrue="1" operator="lessThan">
      <formula>-0.03</formula>
    </cfRule>
  </conditionalFormatting>
  <conditionalFormatting sqref="I24:I26">
    <cfRule type="cellIs" dxfId="2745" priority="75" operator="greaterThan">
      <formula>0.03</formula>
    </cfRule>
    <cfRule type="cellIs" dxfId="2744" priority="76" stopIfTrue="1" operator="lessThan">
      <formula>-0.03</formula>
    </cfRule>
  </conditionalFormatting>
  <conditionalFormatting sqref="I24:I26">
    <cfRule type="cellIs" dxfId="2743" priority="71" operator="greaterThan">
      <formula>0.03</formula>
    </cfRule>
    <cfRule type="cellIs" dxfId="2742" priority="72" stopIfTrue="1" operator="lessThan">
      <formula>-0.03</formula>
    </cfRule>
  </conditionalFormatting>
  <conditionalFormatting sqref="I24:I26">
    <cfRule type="cellIs" dxfId="2741" priority="73" operator="greaterThan">
      <formula>0.03</formula>
    </cfRule>
    <cfRule type="cellIs" dxfId="2740" priority="74" stopIfTrue="1" operator="lessThan">
      <formula>-0.03</formula>
    </cfRule>
  </conditionalFormatting>
  <conditionalFormatting sqref="I23">
    <cfRule type="cellIs" dxfId="2739" priority="69" operator="greaterThan">
      <formula>0.03</formula>
    </cfRule>
    <cfRule type="cellIs" dxfId="2738" priority="70" stopIfTrue="1" operator="lessThan">
      <formula>-0.03</formula>
    </cfRule>
  </conditionalFormatting>
  <conditionalFormatting sqref="I23">
    <cfRule type="cellIs" dxfId="2737" priority="67" operator="greaterThan">
      <formula>0.03</formula>
    </cfRule>
    <cfRule type="cellIs" dxfId="2736" priority="68" stopIfTrue="1" operator="lessThan">
      <formula>-0.03</formula>
    </cfRule>
  </conditionalFormatting>
  <conditionalFormatting sqref="I23">
    <cfRule type="cellIs" dxfId="2735" priority="65" operator="greaterThan">
      <formula>0.03</formula>
    </cfRule>
    <cfRule type="cellIs" dxfId="2734" priority="66" stopIfTrue="1" operator="lessThan">
      <formula>-0.03</formula>
    </cfRule>
  </conditionalFormatting>
  <conditionalFormatting sqref="I23">
    <cfRule type="cellIs" dxfId="2733" priority="63" operator="greaterThan">
      <formula>0.03</formula>
    </cfRule>
    <cfRule type="cellIs" dxfId="2732" priority="64" stopIfTrue="1" operator="lessThan">
      <formula>-0.03</formula>
    </cfRule>
  </conditionalFormatting>
  <conditionalFormatting sqref="I23">
    <cfRule type="cellIs" dxfId="2731" priority="61" operator="greaterThan">
      <formula>0.03</formula>
    </cfRule>
    <cfRule type="cellIs" dxfId="2730" priority="62" stopIfTrue="1" operator="lessThan">
      <formula>-0.03</formula>
    </cfRule>
  </conditionalFormatting>
  <conditionalFormatting sqref="I4:I6 I8:I10">
    <cfRule type="cellIs" dxfId="2729" priority="49" operator="greaterThan">
      <formula>0.03</formula>
    </cfRule>
    <cfRule type="cellIs" dxfId="2728" priority="50" stopIfTrue="1" operator="lessThan">
      <formula>-0.03</formula>
    </cfRule>
  </conditionalFormatting>
  <conditionalFormatting sqref="I4:I6 I8:I10">
    <cfRule type="cellIs" dxfId="2727" priority="47" operator="greaterThan">
      <formula>0.03</formula>
    </cfRule>
    <cfRule type="cellIs" dxfId="2726" priority="48" stopIfTrue="1" operator="lessThan">
      <formula>-0.03</formula>
    </cfRule>
  </conditionalFormatting>
  <conditionalFormatting sqref="I4:I6 I8:I10">
    <cfRule type="cellIs" dxfId="2725" priority="45" operator="greaterThan">
      <formula>0.03</formula>
    </cfRule>
    <cfRule type="cellIs" dxfId="2724" priority="46" stopIfTrue="1" operator="lessThan">
      <formula>-0.03</formula>
    </cfRule>
  </conditionalFormatting>
  <conditionalFormatting sqref="I4:I6 I8:I10">
    <cfRule type="cellIs" dxfId="2723" priority="41" operator="greaterThan">
      <formula>0.03</formula>
    </cfRule>
    <cfRule type="cellIs" dxfId="2722" priority="42" stopIfTrue="1" operator="lessThan">
      <formula>-0.03</formula>
    </cfRule>
  </conditionalFormatting>
  <conditionalFormatting sqref="I4:I6 I8:I10">
    <cfRule type="cellIs" dxfId="2721" priority="43" operator="greaterThan">
      <formula>0.03</formula>
    </cfRule>
    <cfRule type="cellIs" dxfId="2720" priority="44" stopIfTrue="1" operator="lessThan">
      <formula>-0.03</formula>
    </cfRule>
  </conditionalFormatting>
  <conditionalFormatting sqref="I3">
    <cfRule type="cellIs" dxfId="2719" priority="39" operator="greaterThan">
      <formula>0.03</formula>
    </cfRule>
    <cfRule type="cellIs" dxfId="2718" priority="40" stopIfTrue="1" operator="lessThan">
      <formula>-0.03</formula>
    </cfRule>
  </conditionalFormatting>
  <conditionalFormatting sqref="I3">
    <cfRule type="cellIs" dxfId="2717" priority="37" operator="greaterThan">
      <formula>0.03</formula>
    </cfRule>
    <cfRule type="cellIs" dxfId="2716" priority="38" stopIfTrue="1" operator="lessThan">
      <formula>-0.03</formula>
    </cfRule>
  </conditionalFormatting>
  <conditionalFormatting sqref="I3">
    <cfRule type="cellIs" dxfId="2715" priority="35" operator="greaterThan">
      <formula>0.03</formula>
    </cfRule>
    <cfRule type="cellIs" dxfId="2714" priority="36" stopIfTrue="1" operator="lessThan">
      <formula>-0.03</formula>
    </cfRule>
  </conditionalFormatting>
  <conditionalFormatting sqref="I3">
    <cfRule type="cellIs" dxfId="2713" priority="33" operator="greaterThan">
      <formula>0.03</formula>
    </cfRule>
    <cfRule type="cellIs" dxfId="2712" priority="34" stopIfTrue="1" operator="lessThan">
      <formula>-0.03</formula>
    </cfRule>
  </conditionalFormatting>
  <conditionalFormatting sqref="I3">
    <cfRule type="cellIs" dxfId="2711" priority="31" operator="greaterThan">
      <formula>0.03</formula>
    </cfRule>
    <cfRule type="cellIs" dxfId="2710" priority="32" stopIfTrue="1" operator="lessThan">
      <formula>-0.03</formula>
    </cfRule>
  </conditionalFormatting>
  <conditionalFormatting sqref="I7">
    <cfRule type="cellIs" dxfId="2709" priority="29" operator="greaterThan">
      <formula>0.03</formula>
    </cfRule>
    <cfRule type="cellIs" dxfId="2708" priority="30" stopIfTrue="1" operator="lessThan">
      <formula>-0.03</formula>
    </cfRule>
  </conditionalFormatting>
  <conditionalFormatting sqref="I7">
    <cfRule type="cellIs" dxfId="2707" priority="27" operator="greaterThan">
      <formula>0.03</formula>
    </cfRule>
    <cfRule type="cellIs" dxfId="2706" priority="28" stopIfTrue="1" operator="lessThan">
      <formula>-0.03</formula>
    </cfRule>
  </conditionalFormatting>
  <conditionalFormatting sqref="I7">
    <cfRule type="cellIs" dxfId="2705" priority="25" operator="greaterThan">
      <formula>0.03</formula>
    </cfRule>
    <cfRule type="cellIs" dxfId="2704" priority="26" stopIfTrue="1" operator="lessThan">
      <formula>-0.03</formula>
    </cfRule>
  </conditionalFormatting>
  <conditionalFormatting sqref="I7">
    <cfRule type="cellIs" dxfId="2703" priority="23" operator="greaterThan">
      <formula>0.03</formula>
    </cfRule>
    <cfRule type="cellIs" dxfId="2702" priority="24" stopIfTrue="1" operator="lessThan">
      <formula>-0.03</formula>
    </cfRule>
  </conditionalFormatting>
  <conditionalFormatting sqref="I7">
    <cfRule type="cellIs" dxfId="2701" priority="21" operator="greaterThan">
      <formula>0.03</formula>
    </cfRule>
    <cfRule type="cellIs" dxfId="2700" priority="22" stopIfTrue="1" operator="lessThan">
      <formula>-0.03</formula>
    </cfRule>
  </conditionalFormatting>
  <conditionalFormatting sqref="I15">
    <cfRule type="cellIs" dxfId="2699" priority="19" operator="greaterThan">
      <formula>0.03</formula>
    </cfRule>
    <cfRule type="cellIs" dxfId="2698" priority="20" stopIfTrue="1" operator="lessThan">
      <formula>-0.03</formula>
    </cfRule>
  </conditionalFormatting>
  <conditionalFormatting sqref="I15">
    <cfRule type="cellIs" dxfId="2697" priority="17" operator="greaterThan">
      <formula>0.03</formula>
    </cfRule>
    <cfRule type="cellIs" dxfId="2696" priority="18" stopIfTrue="1" operator="lessThan">
      <formula>-0.03</formula>
    </cfRule>
  </conditionalFormatting>
  <conditionalFormatting sqref="I15">
    <cfRule type="cellIs" dxfId="2695" priority="15" operator="greaterThan">
      <formula>0.03</formula>
    </cfRule>
    <cfRule type="cellIs" dxfId="2694" priority="16" stopIfTrue="1" operator="lessThan">
      <formula>-0.03</formula>
    </cfRule>
  </conditionalFormatting>
  <conditionalFormatting sqref="I15">
    <cfRule type="cellIs" dxfId="2693" priority="13" operator="greaterThan">
      <formula>0.03</formula>
    </cfRule>
    <cfRule type="cellIs" dxfId="2692" priority="14" stopIfTrue="1" operator="lessThan">
      <formula>-0.03</formula>
    </cfRule>
  </conditionalFormatting>
  <conditionalFormatting sqref="I15">
    <cfRule type="cellIs" dxfId="2691" priority="11" operator="greaterThan">
      <formula>0.03</formula>
    </cfRule>
    <cfRule type="cellIs" dxfId="2690" priority="12" stopIfTrue="1" operator="lessThan">
      <formula>-0.03</formula>
    </cfRule>
  </conditionalFormatting>
  <conditionalFormatting sqref="I33">
    <cfRule type="cellIs" dxfId="2689" priority="9" operator="greaterThan">
      <formula>0.03</formula>
    </cfRule>
    <cfRule type="cellIs" dxfId="2688" priority="10" stopIfTrue="1" operator="lessThan">
      <formula>-0.03</formula>
    </cfRule>
  </conditionalFormatting>
  <conditionalFormatting sqref="I33">
    <cfRule type="cellIs" dxfId="2687" priority="7" operator="greaterThan">
      <formula>0.03</formula>
    </cfRule>
    <cfRule type="cellIs" dxfId="2686" priority="8" stopIfTrue="1" operator="lessThan">
      <formula>-0.03</formula>
    </cfRule>
  </conditionalFormatting>
  <conditionalFormatting sqref="I33">
    <cfRule type="cellIs" dxfId="2685" priority="5" operator="greaterThan">
      <formula>0.03</formula>
    </cfRule>
    <cfRule type="cellIs" dxfId="2684" priority="6" stopIfTrue="1" operator="lessThan">
      <formula>-0.03</formula>
    </cfRule>
  </conditionalFormatting>
  <conditionalFormatting sqref="I33">
    <cfRule type="cellIs" dxfId="2683" priority="3" operator="greaterThan">
      <formula>0.03</formula>
    </cfRule>
    <cfRule type="cellIs" dxfId="2682" priority="4" stopIfTrue="1" operator="lessThan">
      <formula>-0.03</formula>
    </cfRule>
  </conditionalFormatting>
  <conditionalFormatting sqref="I33">
    <cfRule type="cellIs" dxfId="2681" priority="1" operator="greaterThan">
      <formula>0.03</formula>
    </cfRule>
    <cfRule type="cellIs" dxfId="2680" priority="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BD2DBB-E68B-4143-ABAB-FE15A38EC528}">
  <dimension ref="A1:I42"/>
  <sheetViews>
    <sheetView zoomScaleNormal="100" workbookViewId="0">
      <selection activeCell="G23" sqref="G23:H30"/>
    </sheetView>
  </sheetViews>
  <sheetFormatPr defaultColWidth="8.875" defaultRowHeight="14.25"/>
  <cols>
    <col min="2" max="2" width="25.375" bestFit="1" customWidth="1"/>
    <col min="3" max="3" width="5.875" bestFit="1" customWidth="1"/>
    <col min="5" max="5" width="8.5" bestFit="1" customWidth="1"/>
    <col min="6" max="6" width="3.625" bestFit="1" customWidth="1"/>
  </cols>
  <sheetData>
    <row r="1" spans="1:9" ht="15" thickBot="1">
      <c r="A1" s="1"/>
      <c r="B1" s="1"/>
      <c r="C1" s="1"/>
      <c r="D1" s="28" t="s">
        <v>25</v>
      </c>
      <c r="E1" s="29"/>
      <c r="F1" s="1"/>
      <c r="G1" s="28" t="s">
        <v>26</v>
      </c>
      <c r="H1" s="29"/>
      <c r="I1" s="25"/>
    </row>
    <row r="2" spans="1:9" ht="15" thickBot="1">
      <c r="A2" s="2"/>
      <c r="B2" s="3"/>
      <c r="C2" s="22" t="s">
        <v>24</v>
      </c>
      <c r="D2" s="13" t="s">
        <v>0</v>
      </c>
      <c r="E2" s="5" t="s">
        <v>31</v>
      </c>
      <c r="F2" s="22" t="s">
        <v>24</v>
      </c>
      <c r="G2" s="13" t="s">
        <v>0</v>
      </c>
      <c r="H2" s="5" t="s">
        <v>31</v>
      </c>
      <c r="I2" s="5" t="s">
        <v>31</v>
      </c>
    </row>
    <row r="3" spans="1:9">
      <c r="A3" s="20" t="s">
        <v>32</v>
      </c>
      <c r="B3" s="24" t="s">
        <v>33</v>
      </c>
      <c r="C3" s="6">
        <v>27</v>
      </c>
      <c r="D3" s="24">
        <v>0.13102494855967001</v>
      </c>
      <c r="E3" s="24">
        <v>34.8230590820312</v>
      </c>
      <c r="F3" s="6">
        <v>27</v>
      </c>
      <c r="G3" s="24">
        <v>0.14995177500000001</v>
      </c>
      <c r="H3" s="24">
        <v>34.983188630000001</v>
      </c>
      <c r="I3" s="7">
        <f>bdrate($D3:$D6,E3:E6,$G3:$G6,H3:H6)</f>
        <v>-7.5728924365352723E-2</v>
      </c>
    </row>
    <row r="4" spans="1:9">
      <c r="A4" s="14" t="s">
        <v>5</v>
      </c>
      <c r="B4" s="16"/>
      <c r="C4" s="8">
        <v>32</v>
      </c>
      <c r="D4" s="24">
        <v>5.5262667181069897E-2</v>
      </c>
      <c r="E4" s="24">
        <v>34.2650337219238</v>
      </c>
      <c r="F4" s="8">
        <v>32</v>
      </c>
      <c r="G4" s="24">
        <v>6.1662487000000002E-2</v>
      </c>
      <c r="H4" s="24">
        <v>34.346721649999999</v>
      </c>
      <c r="I4" s="9"/>
    </row>
    <row r="5" spans="1:9">
      <c r="A5" s="8"/>
      <c r="B5" s="16"/>
      <c r="C5" s="8">
        <v>38</v>
      </c>
      <c r="D5" s="24">
        <v>3.13851916152263E-2</v>
      </c>
      <c r="E5" s="24">
        <v>33.978195190429602</v>
      </c>
      <c r="F5" s="8">
        <v>38</v>
      </c>
      <c r="G5" s="24">
        <v>3.2369469999999997E-2</v>
      </c>
      <c r="H5" s="24">
        <v>34.062736510000001</v>
      </c>
      <c r="I5" s="9"/>
    </row>
    <row r="6" spans="1:9" ht="15" thickBot="1">
      <c r="A6" s="8"/>
      <c r="B6" s="17"/>
      <c r="C6" s="10">
        <v>45</v>
      </c>
      <c r="D6" s="24">
        <v>1.7379275977366201E-2</v>
      </c>
      <c r="E6" s="24">
        <v>33.604076385497997</v>
      </c>
      <c r="F6" s="10">
        <v>45</v>
      </c>
      <c r="G6" s="24">
        <v>1.7896412E-2</v>
      </c>
      <c r="H6" s="24">
        <v>33.771053309999999</v>
      </c>
      <c r="I6" s="2"/>
    </row>
    <row r="7" spans="1:9">
      <c r="A7" s="8"/>
      <c r="B7" s="24" t="s">
        <v>34</v>
      </c>
      <c r="C7" s="6">
        <v>27</v>
      </c>
      <c r="D7" s="24">
        <v>5.6991062242798297E-2</v>
      </c>
      <c r="E7" s="24">
        <v>39.6392211914062</v>
      </c>
      <c r="F7" s="6">
        <v>27</v>
      </c>
      <c r="G7" s="24">
        <v>4.3428819E-2</v>
      </c>
      <c r="H7" s="24">
        <v>40.266078950000001</v>
      </c>
      <c r="I7" s="7">
        <f>bdrate($D7:$D10,E7:E10,$G7:$G10,H7:H10)</f>
        <v>-0.4136044838824523</v>
      </c>
    </row>
    <row r="8" spans="1:9">
      <c r="A8" s="8"/>
      <c r="B8" s="16"/>
      <c r="C8" s="8">
        <v>32</v>
      </c>
      <c r="D8" s="24">
        <v>3.5741705246913502E-2</v>
      </c>
      <c r="E8" s="24">
        <v>38.532684326171797</v>
      </c>
      <c r="F8" s="8">
        <v>32</v>
      </c>
      <c r="G8" s="24">
        <v>2.8254886999999999E-2</v>
      </c>
      <c r="H8" s="24">
        <v>39.311233520000002</v>
      </c>
      <c r="I8" s="9"/>
    </row>
    <row r="9" spans="1:9">
      <c r="A9" s="8"/>
      <c r="B9" s="16"/>
      <c r="C9" s="8">
        <v>38</v>
      </c>
      <c r="D9" s="24">
        <v>2.3069862397119299E-2</v>
      </c>
      <c r="E9" s="24">
        <v>37.331943511962798</v>
      </c>
      <c r="F9" s="8">
        <v>38</v>
      </c>
      <c r="G9" s="24">
        <v>1.9093685999999999E-2</v>
      </c>
      <c r="H9" s="24">
        <v>38.329742430000003</v>
      </c>
      <c r="I9" s="9"/>
    </row>
    <row r="10" spans="1:9" ht="15" thickBot="1">
      <c r="A10" s="8"/>
      <c r="B10" s="17"/>
      <c r="C10" s="10">
        <v>45</v>
      </c>
      <c r="D10" s="24">
        <v>1.4155414094650201E-2</v>
      </c>
      <c r="E10" s="24">
        <v>35.686119079589801</v>
      </c>
      <c r="F10" s="10">
        <v>45</v>
      </c>
      <c r="G10" s="24">
        <v>1.2629565000000001E-2</v>
      </c>
      <c r="H10" s="24">
        <v>36.921363829999997</v>
      </c>
      <c r="I10" s="9"/>
    </row>
    <row r="11" spans="1:9">
      <c r="A11" s="14"/>
      <c r="B11" s="24" t="s">
        <v>35</v>
      </c>
      <c r="C11" s="6">
        <v>27</v>
      </c>
      <c r="D11" s="24">
        <v>2.2645318930041101E-2</v>
      </c>
      <c r="E11" s="24">
        <v>37.742992401122997</v>
      </c>
      <c r="F11" s="6">
        <v>27</v>
      </c>
      <c r="G11" s="24">
        <v>2.0977688000000001E-2</v>
      </c>
      <c r="H11" s="24">
        <v>38.315940859999998</v>
      </c>
      <c r="I11" s="7">
        <f>bdrate($D11:$D14,E11:E14,$G11:$G14,H11:H14)</f>
        <v>-0.3891838349722655</v>
      </c>
    </row>
    <row r="12" spans="1:9">
      <c r="A12" s="14"/>
      <c r="B12" s="16"/>
      <c r="C12" s="8">
        <v>32</v>
      </c>
      <c r="D12" s="24">
        <v>1.62069187242798E-2</v>
      </c>
      <c r="E12" s="24">
        <v>37.486782073974602</v>
      </c>
      <c r="F12" s="8">
        <v>32</v>
      </c>
      <c r="G12" s="24">
        <v>1.5501222E-2</v>
      </c>
      <c r="H12" s="24">
        <v>38.135681150000003</v>
      </c>
      <c r="I12" s="9"/>
    </row>
    <row r="13" spans="1:9">
      <c r="A13" s="8"/>
      <c r="B13" s="16"/>
      <c r="C13" s="8">
        <v>38</v>
      </c>
      <c r="D13" s="24">
        <v>1.22326710390946E-2</v>
      </c>
      <c r="E13" s="24">
        <v>37.098365783691399</v>
      </c>
      <c r="F13" s="8">
        <v>38</v>
      </c>
      <c r="G13" s="24">
        <v>1.1842046E-2</v>
      </c>
      <c r="H13" s="24">
        <v>37.829761509999997</v>
      </c>
      <c r="I13" s="9"/>
    </row>
    <row r="14" spans="1:9" ht="15" thickBot="1">
      <c r="A14" s="8"/>
      <c r="B14" s="17"/>
      <c r="C14" s="10">
        <v>45</v>
      </c>
      <c r="D14" s="24">
        <v>9.0432098765432095E-3</v>
      </c>
      <c r="E14" s="24">
        <v>36.139297485351499</v>
      </c>
      <c r="F14" s="10">
        <v>45</v>
      </c>
      <c r="G14" s="24">
        <v>8.7556260000000007E-3</v>
      </c>
      <c r="H14" s="24">
        <v>37.125286099999997</v>
      </c>
      <c r="I14" s="2"/>
    </row>
    <row r="15" spans="1:9">
      <c r="A15" s="8"/>
      <c r="B15" s="24" t="s">
        <v>36</v>
      </c>
      <c r="C15" s="6">
        <v>27</v>
      </c>
      <c r="D15" s="24">
        <v>6.2148598251028801E-2</v>
      </c>
      <c r="E15" s="24">
        <v>38.771438598632798</v>
      </c>
      <c r="F15" s="6">
        <v>27</v>
      </c>
      <c r="G15" s="24">
        <v>6.2148597999999999E-2</v>
      </c>
      <c r="H15" s="24">
        <v>38.771438600000003</v>
      </c>
      <c r="I15" s="7">
        <f>bdrate($D15:$D18,E15:E18,$G15:$G18,H15:H18)</f>
        <v>7.1971444359775205E-9</v>
      </c>
    </row>
    <row r="16" spans="1:9">
      <c r="A16" s="8"/>
      <c r="B16" s="16"/>
      <c r="C16" s="8">
        <v>32</v>
      </c>
      <c r="D16" s="24">
        <v>4.2090727880658402E-2</v>
      </c>
      <c r="E16" s="24">
        <v>38.169677734375</v>
      </c>
      <c r="F16" s="8">
        <v>32</v>
      </c>
      <c r="G16" s="24">
        <v>4.2090728000000001E-2</v>
      </c>
      <c r="H16" s="24">
        <v>38.169677729999997</v>
      </c>
      <c r="I16" s="9"/>
    </row>
    <row r="17" spans="1:9">
      <c r="A17" s="8"/>
      <c r="B17" s="16"/>
      <c r="C17" s="8">
        <v>38</v>
      </c>
      <c r="D17" s="24">
        <v>3.03526877572016E-2</v>
      </c>
      <c r="E17" s="24">
        <v>37.487010955810497</v>
      </c>
      <c r="F17" s="8">
        <v>38</v>
      </c>
      <c r="G17" s="24">
        <v>3.0352687999999999E-2</v>
      </c>
      <c r="H17" s="24">
        <v>37.487010959999999</v>
      </c>
      <c r="I17" s="9"/>
    </row>
    <row r="18" spans="1:9" ht="15" thickBot="1">
      <c r="A18" s="8"/>
      <c r="B18" s="17"/>
      <c r="C18" s="10">
        <v>45</v>
      </c>
      <c r="D18" s="24">
        <v>2.1547228652263301E-2</v>
      </c>
      <c r="E18" s="24">
        <v>36.276405334472599</v>
      </c>
      <c r="F18" s="10">
        <v>45</v>
      </c>
      <c r="G18" s="24">
        <v>2.1547229000000001E-2</v>
      </c>
      <c r="H18" s="24">
        <v>36.276405330000003</v>
      </c>
      <c r="I18" s="9"/>
    </row>
    <row r="19" spans="1:9">
      <c r="A19" s="8"/>
      <c r="B19" s="24" t="s">
        <v>37</v>
      </c>
      <c r="C19" s="6">
        <v>27</v>
      </c>
      <c r="D19" s="24">
        <v>8.2705118312757203E-2</v>
      </c>
      <c r="E19" s="24">
        <v>38.5883178710937</v>
      </c>
      <c r="F19" s="6">
        <v>27</v>
      </c>
      <c r="G19" s="24">
        <v>9.0832368999999996E-2</v>
      </c>
      <c r="H19" s="24">
        <v>38.850120539999999</v>
      </c>
      <c r="I19" s="7">
        <f>bdrate($D19:$D22,E19:E22,$G19:$G22,H19:H22)</f>
        <v>3.8516267610048116E-2</v>
      </c>
    </row>
    <row r="20" spans="1:9">
      <c r="A20" s="8"/>
      <c r="B20" s="16"/>
      <c r="C20" s="8">
        <v>32</v>
      </c>
      <c r="D20" s="24">
        <v>5.8443126286008201E-2</v>
      </c>
      <c r="E20" s="24">
        <v>37.604438781738203</v>
      </c>
      <c r="F20" s="8">
        <v>32</v>
      </c>
      <c r="G20" s="24">
        <v>6.5723861999999994E-2</v>
      </c>
      <c r="H20" s="24">
        <v>37.911186219999998</v>
      </c>
      <c r="I20" s="9"/>
    </row>
    <row r="21" spans="1:9">
      <c r="A21" s="8"/>
      <c r="B21" s="16"/>
      <c r="C21" s="8">
        <v>38</v>
      </c>
      <c r="D21" s="24">
        <v>4.1622620884773601E-2</v>
      </c>
      <c r="E21" s="24">
        <v>36.537948608398402</v>
      </c>
      <c r="F21" s="8">
        <v>38</v>
      </c>
      <c r="G21" s="24">
        <v>4.7244727E-2</v>
      </c>
      <c r="H21" s="24">
        <v>36.825637819999997</v>
      </c>
      <c r="I21" s="9"/>
    </row>
    <row r="22" spans="1:9" ht="15" thickBot="1">
      <c r="A22" s="8"/>
      <c r="B22" s="17"/>
      <c r="C22" s="10">
        <v>45</v>
      </c>
      <c r="D22" s="24">
        <v>2.8709972993827101E-2</v>
      </c>
      <c r="E22" s="24">
        <v>34.842987060546797</v>
      </c>
      <c r="F22" s="10">
        <v>45</v>
      </c>
      <c r="G22" s="24">
        <v>3.2313206999999997E-2</v>
      </c>
      <c r="H22" s="24">
        <v>35.143291470000001</v>
      </c>
      <c r="I22" s="2"/>
    </row>
    <row r="23" spans="1:9">
      <c r="A23" s="26"/>
      <c r="B23" s="24" t="s">
        <v>38</v>
      </c>
      <c r="C23" s="6">
        <v>27</v>
      </c>
      <c r="D23" s="24">
        <v>0.22560731738683101</v>
      </c>
      <c r="E23" s="24">
        <v>37.335689544677699</v>
      </c>
      <c r="F23" s="6">
        <v>27</v>
      </c>
      <c r="G23" s="24">
        <v>0.228883745</v>
      </c>
      <c r="H23" s="24">
        <v>37.755332950000003</v>
      </c>
      <c r="I23" s="7">
        <f>bdrate($D23:$D26,E23:E26,$G23:$G26,H23:H26)</f>
        <v>-0.16821230493071726</v>
      </c>
    </row>
    <row r="24" spans="1:9">
      <c r="A24" s="14"/>
      <c r="B24" s="16"/>
      <c r="C24" s="8">
        <v>32</v>
      </c>
      <c r="D24" s="24">
        <v>0.147040412808641</v>
      </c>
      <c r="E24" s="24">
        <v>36.262279510497997</v>
      </c>
      <c r="F24" s="8">
        <v>32</v>
      </c>
      <c r="G24" s="24">
        <v>0.14863522400000001</v>
      </c>
      <c r="H24" s="24">
        <v>36.737716669999998</v>
      </c>
      <c r="I24" s="9"/>
    </row>
    <row r="25" spans="1:9">
      <c r="A25" s="8"/>
      <c r="B25" s="16"/>
      <c r="C25" s="8">
        <v>38</v>
      </c>
      <c r="D25" s="24">
        <v>9.3587159207818904E-2</v>
      </c>
      <c r="E25" s="24">
        <v>35.0457954406738</v>
      </c>
      <c r="F25" s="8">
        <v>38</v>
      </c>
      <c r="G25" s="24">
        <v>9.5174093000000001E-2</v>
      </c>
      <c r="H25" s="24">
        <v>35.590343480000001</v>
      </c>
      <c r="I25" s="9"/>
    </row>
    <row r="26" spans="1:9" ht="15" thickBot="1">
      <c r="A26" s="8"/>
      <c r="B26" s="17"/>
      <c r="C26" s="10">
        <v>45</v>
      </c>
      <c r="D26" s="24">
        <v>4.81828703703703E-2</v>
      </c>
      <c r="E26" s="24">
        <v>33.254096984863203</v>
      </c>
      <c r="F26" s="10">
        <v>45</v>
      </c>
      <c r="G26" s="24">
        <v>5.0507812999999999E-2</v>
      </c>
      <c r="H26" s="24">
        <v>33.913635249999999</v>
      </c>
      <c r="I26" s="2"/>
    </row>
    <row r="27" spans="1:9">
      <c r="A27" s="8"/>
      <c r="B27" s="24" t="s">
        <v>39</v>
      </c>
      <c r="C27" s="6">
        <v>27</v>
      </c>
      <c r="D27" s="24">
        <v>0.15639387217078099</v>
      </c>
      <c r="E27" s="24">
        <v>39.489189147949197</v>
      </c>
      <c r="F27" s="6">
        <v>27</v>
      </c>
      <c r="G27" s="24">
        <v>0.156681456</v>
      </c>
      <c r="H27" s="24">
        <v>39.546115880000002</v>
      </c>
      <c r="I27" s="7">
        <f>bdrate($D27:$D30,E27:E30,$G27:$G30,H27:H30)</f>
        <v>-2.4915163263158235E-2</v>
      </c>
    </row>
    <row r="28" spans="1:9">
      <c r="A28" s="8"/>
      <c r="B28" s="16"/>
      <c r="C28" s="8">
        <v>32</v>
      </c>
      <c r="D28" s="24">
        <v>0.10866480195473199</v>
      </c>
      <c r="E28" s="24">
        <v>38.256629943847599</v>
      </c>
      <c r="F28" s="8">
        <v>32</v>
      </c>
      <c r="G28" s="24">
        <v>0.10848556500000001</v>
      </c>
      <c r="H28" s="24">
        <v>38.331924440000002</v>
      </c>
      <c r="I28" s="9"/>
    </row>
    <row r="29" spans="1:9">
      <c r="A29" s="8"/>
      <c r="B29" s="16"/>
      <c r="C29" s="8">
        <v>38</v>
      </c>
      <c r="D29" s="24">
        <v>7.4816743827160498E-2</v>
      </c>
      <c r="E29" s="24">
        <v>36.910957336425703</v>
      </c>
      <c r="F29" s="8">
        <v>38</v>
      </c>
      <c r="G29" s="24">
        <v>7.4289641000000003E-2</v>
      </c>
      <c r="H29" s="24">
        <v>36.982460019999998</v>
      </c>
      <c r="I29" s="9"/>
    </row>
    <row r="30" spans="1:9" ht="15" thickBot="1">
      <c r="A30" s="8"/>
      <c r="B30" s="17"/>
      <c r="C30" s="10">
        <v>45</v>
      </c>
      <c r="D30" s="24">
        <v>4.4689911265432099E-2</v>
      </c>
      <c r="E30" s="24">
        <v>34.934749603271399</v>
      </c>
      <c r="F30" s="10">
        <v>45</v>
      </c>
      <c r="G30" s="24">
        <v>4.4305877E-2</v>
      </c>
      <c r="H30" s="24">
        <v>35.020759580000004</v>
      </c>
      <c r="I30" s="2"/>
    </row>
    <row r="31" spans="1:9" ht="15" thickBot="1">
      <c r="A31" s="11"/>
      <c r="B31" s="4" t="s">
        <v>2</v>
      </c>
      <c r="C31" s="18"/>
      <c r="D31" s="11"/>
      <c r="E31" s="18"/>
      <c r="F31" s="18"/>
      <c r="G31" s="11"/>
      <c r="H31" s="18"/>
      <c r="I31" s="19">
        <f>AVERAGE(I3:I30)</f>
        <v>-0.14758977665810763</v>
      </c>
    </row>
    <row r="32" spans="1:9" ht="15" thickBot="1">
      <c r="A32" s="9"/>
      <c r="B32" s="12"/>
      <c r="C32" s="12"/>
      <c r="D32" s="12"/>
      <c r="E32" s="12"/>
      <c r="F32" s="12"/>
      <c r="G32" s="12"/>
      <c r="H32" s="12"/>
    </row>
    <row r="33" spans="1:9">
      <c r="A33" s="12"/>
      <c r="B33" s="12" t="s">
        <v>70</v>
      </c>
      <c r="C33" s="12"/>
      <c r="D33" s="12">
        <f>AVERAGE(D3,D7,D11,D15,D19,D23,D27)</f>
        <v>0.10535946226484391</v>
      </c>
      <c r="E33" s="12">
        <f>AVERAGE(E3,E7,E11,E15,E19,E23,E27)</f>
        <v>38.05570111955911</v>
      </c>
      <c r="F33" s="12"/>
      <c r="G33" s="12">
        <f>AVERAGE(G3,G7,G11,G15,G19,G23,G27)</f>
        <v>0.10755777857142856</v>
      </c>
      <c r="H33" s="12">
        <f>AVERAGE(H3,H7,H11,H15,H19,H23,H27)</f>
        <v>38.355459487142859</v>
      </c>
      <c r="I33" s="7">
        <f>bdrate($D33:$D36,E33:E36,$G33:$G36,H33:H36)</f>
        <v>-0.14711828592097431</v>
      </c>
    </row>
    <row r="34" spans="1:9">
      <c r="A34" s="12"/>
      <c r="B34" s="12"/>
      <c r="C34" s="12"/>
      <c r="D34" s="12">
        <f t="shared" ref="D34:E36" si="0">AVERAGE(D4,D8,D12,D16,D20,D24,D28)</f>
        <v>6.6207194297471836E-2</v>
      </c>
      <c r="E34" s="12">
        <f t="shared" si="0"/>
        <v>37.225360870361278</v>
      </c>
      <c r="F34" s="12"/>
      <c r="G34" s="12">
        <f t="shared" ref="G34:H36" si="1">AVERAGE(G4,G8,G12,G16,G20,G24,G28)</f>
        <v>6.7193425000000001E-2</v>
      </c>
      <c r="H34" s="12">
        <f t="shared" si="1"/>
        <v>37.563448768571433</v>
      </c>
    </row>
    <row r="35" spans="1:9">
      <c r="A35" s="12"/>
      <c r="B35" s="12"/>
      <c r="C35" s="12"/>
      <c r="D35" s="12">
        <f t="shared" si="0"/>
        <v>4.3866705246913544E-2</v>
      </c>
      <c r="E35" s="12">
        <f t="shared" si="0"/>
        <v>36.341459546770317</v>
      </c>
      <c r="F35" s="12"/>
      <c r="G35" s="12">
        <f t="shared" si="1"/>
        <v>4.4338050142857147E-2</v>
      </c>
      <c r="H35" s="12">
        <f t="shared" si="1"/>
        <v>36.729670390000003</v>
      </c>
    </row>
    <row r="36" spans="1:9">
      <c r="A36" s="12"/>
      <c r="B36" s="12"/>
      <c r="C36" s="12"/>
      <c r="D36" s="12">
        <f t="shared" si="0"/>
        <v>2.6243983318636057E-2</v>
      </c>
      <c r="E36" s="12">
        <f t="shared" si="0"/>
        <v>34.962533133370471</v>
      </c>
      <c r="F36" s="12"/>
      <c r="G36" s="12">
        <f t="shared" si="1"/>
        <v>2.685081842857143E-2</v>
      </c>
      <c r="H36" s="12">
        <f t="shared" si="1"/>
        <v>35.453113552857147</v>
      </c>
    </row>
    <row r="37" spans="1:9">
      <c r="A37" s="12"/>
      <c r="B37" s="12"/>
      <c r="C37" s="12"/>
      <c r="D37" s="12"/>
      <c r="E37" s="12"/>
      <c r="F37" s="12"/>
      <c r="G37" s="12"/>
      <c r="H37" s="12"/>
    </row>
    <row r="38" spans="1:9">
      <c r="A38" s="12"/>
      <c r="B38" s="12"/>
      <c r="C38" s="12"/>
      <c r="D38" s="12"/>
      <c r="E38" s="12"/>
      <c r="F38" s="12"/>
      <c r="G38" s="12"/>
      <c r="H38" s="12"/>
    </row>
    <row r="39" spans="1:9">
      <c r="A39" s="12"/>
    </row>
    <row r="40" spans="1:9">
      <c r="A40" s="12"/>
    </row>
    <row r="41" spans="1:9">
      <c r="A41" s="12"/>
    </row>
    <row r="42" spans="1:9">
      <c r="A42" s="12"/>
    </row>
  </sheetData>
  <mergeCells count="2">
    <mergeCell ref="D1:E1"/>
    <mergeCell ref="G1:H1"/>
  </mergeCells>
  <phoneticPr fontId="1" type="noConversion"/>
  <conditionalFormatting sqref="I31">
    <cfRule type="cellIs" dxfId="2679" priority="135" operator="greaterThan">
      <formula>0.03</formula>
    </cfRule>
    <cfRule type="cellIs" dxfId="2678" priority="136" stopIfTrue="1" operator="lessThan">
      <formula>-0.03</formula>
    </cfRule>
  </conditionalFormatting>
  <conditionalFormatting sqref="I31">
    <cfRule type="cellIs" dxfId="2677" priority="133" operator="greaterThan">
      <formula>0.03</formula>
    </cfRule>
    <cfRule type="cellIs" dxfId="2676" priority="134" stopIfTrue="1" operator="lessThan">
      <formula>-0.03</formula>
    </cfRule>
  </conditionalFormatting>
  <conditionalFormatting sqref="I31">
    <cfRule type="cellIs" dxfId="2675" priority="131" operator="greaterThan">
      <formula>0.03</formula>
    </cfRule>
    <cfRule type="cellIs" dxfId="2674" priority="132" stopIfTrue="1" operator="lessThan">
      <formula>-0.03</formula>
    </cfRule>
  </conditionalFormatting>
  <conditionalFormatting sqref="I31">
    <cfRule type="cellIs" dxfId="2673" priority="139" operator="greaterThan">
      <formula>0.03</formula>
    </cfRule>
    <cfRule type="cellIs" dxfId="2672" priority="140" stopIfTrue="1" operator="lessThan">
      <formula>-0.03</formula>
    </cfRule>
  </conditionalFormatting>
  <conditionalFormatting sqref="I31">
    <cfRule type="cellIs" dxfId="2671" priority="137" operator="greaterThan">
      <formula>0.03</formula>
    </cfRule>
    <cfRule type="cellIs" dxfId="2670" priority="138" stopIfTrue="1" operator="lessThan">
      <formula>-0.03</formula>
    </cfRule>
  </conditionalFormatting>
  <conditionalFormatting sqref="I12:I14 I16:I18">
    <cfRule type="cellIs" dxfId="2669" priority="119" operator="greaterThan">
      <formula>0.03</formula>
    </cfRule>
    <cfRule type="cellIs" dxfId="2668" priority="120" stopIfTrue="1" operator="lessThan">
      <formula>-0.03</formula>
    </cfRule>
  </conditionalFormatting>
  <conditionalFormatting sqref="I12:I14 I16:I18">
    <cfRule type="cellIs" dxfId="2667" priority="117" operator="greaterThan">
      <formula>0.03</formula>
    </cfRule>
    <cfRule type="cellIs" dxfId="2666" priority="118" stopIfTrue="1" operator="lessThan">
      <formula>-0.03</formula>
    </cfRule>
  </conditionalFormatting>
  <conditionalFormatting sqref="I28:I30">
    <cfRule type="cellIs" dxfId="2665" priority="89" operator="greaterThan">
      <formula>0.03</formula>
    </cfRule>
    <cfRule type="cellIs" dxfId="2664" priority="90" stopIfTrue="1" operator="lessThan">
      <formula>-0.03</formula>
    </cfRule>
  </conditionalFormatting>
  <conditionalFormatting sqref="I28:I30">
    <cfRule type="cellIs" dxfId="2663" priority="87" operator="greaterThan">
      <formula>0.03</formula>
    </cfRule>
    <cfRule type="cellIs" dxfId="2662" priority="88" stopIfTrue="1" operator="lessThan">
      <formula>-0.03</formula>
    </cfRule>
  </conditionalFormatting>
  <conditionalFormatting sqref="I28:I30">
    <cfRule type="cellIs" dxfId="2661" priority="85" operator="greaterThan">
      <formula>0.03</formula>
    </cfRule>
    <cfRule type="cellIs" dxfId="2660" priority="86" stopIfTrue="1" operator="lessThan">
      <formula>-0.03</formula>
    </cfRule>
  </conditionalFormatting>
  <conditionalFormatting sqref="I28:I30">
    <cfRule type="cellIs" dxfId="2659" priority="83" operator="greaterThan">
      <formula>0.03</formula>
    </cfRule>
    <cfRule type="cellIs" dxfId="2658" priority="84" stopIfTrue="1" operator="lessThan">
      <formula>-0.03</formula>
    </cfRule>
  </conditionalFormatting>
  <conditionalFormatting sqref="I28:I30">
    <cfRule type="cellIs" dxfId="2657" priority="81" operator="greaterThan">
      <formula>0.03</formula>
    </cfRule>
    <cfRule type="cellIs" dxfId="2656" priority="82" stopIfTrue="1" operator="lessThan">
      <formula>-0.03</formula>
    </cfRule>
  </conditionalFormatting>
  <conditionalFormatting sqref="I20:I22">
    <cfRule type="cellIs" dxfId="2655" priority="125" operator="greaterThan">
      <formula>0.03</formula>
    </cfRule>
    <cfRule type="cellIs" dxfId="2654" priority="126" stopIfTrue="1" operator="lessThan">
      <formula>-0.03</formula>
    </cfRule>
  </conditionalFormatting>
  <conditionalFormatting sqref="I19">
    <cfRule type="cellIs" dxfId="2653" priority="99" operator="greaterThan">
      <formula>0.03</formula>
    </cfRule>
    <cfRule type="cellIs" dxfId="2652" priority="100" stopIfTrue="1" operator="lessThan">
      <formula>-0.03</formula>
    </cfRule>
  </conditionalFormatting>
  <conditionalFormatting sqref="I19">
    <cfRule type="cellIs" dxfId="2651" priority="97" operator="greaterThan">
      <formula>0.03</formula>
    </cfRule>
    <cfRule type="cellIs" dxfId="2650" priority="98" stopIfTrue="1" operator="lessThan">
      <formula>-0.03</formula>
    </cfRule>
  </conditionalFormatting>
  <conditionalFormatting sqref="I19">
    <cfRule type="cellIs" dxfId="2649" priority="95" operator="greaterThan">
      <formula>0.03</formula>
    </cfRule>
    <cfRule type="cellIs" dxfId="2648" priority="96" stopIfTrue="1" operator="lessThan">
      <formula>-0.03</formula>
    </cfRule>
  </conditionalFormatting>
  <conditionalFormatting sqref="I19">
    <cfRule type="cellIs" dxfId="2647" priority="93" operator="greaterThan">
      <formula>0.03</formula>
    </cfRule>
    <cfRule type="cellIs" dxfId="2646" priority="94" stopIfTrue="1" operator="lessThan">
      <formula>-0.03</formula>
    </cfRule>
  </conditionalFormatting>
  <conditionalFormatting sqref="I19">
    <cfRule type="cellIs" dxfId="2645" priority="91" operator="greaterThan">
      <formula>0.03</formula>
    </cfRule>
    <cfRule type="cellIs" dxfId="2644" priority="92" stopIfTrue="1" operator="lessThan">
      <formula>-0.03</formula>
    </cfRule>
  </conditionalFormatting>
  <conditionalFormatting sqref="I20:I22">
    <cfRule type="cellIs" dxfId="2643" priority="129" operator="greaterThan">
      <formula>0.03</formula>
    </cfRule>
    <cfRule type="cellIs" dxfId="2642" priority="130" stopIfTrue="1" operator="lessThan">
      <formula>-0.03</formula>
    </cfRule>
  </conditionalFormatting>
  <conditionalFormatting sqref="I20:I22">
    <cfRule type="cellIs" dxfId="2641" priority="127" operator="greaterThan">
      <formula>0.03</formula>
    </cfRule>
    <cfRule type="cellIs" dxfId="2640" priority="128" stopIfTrue="1" operator="lessThan">
      <formula>-0.03</formula>
    </cfRule>
  </conditionalFormatting>
  <conditionalFormatting sqref="I12:I14 I16:I18">
    <cfRule type="cellIs" dxfId="2639" priority="115" operator="greaterThan">
      <formula>0.03</formula>
    </cfRule>
    <cfRule type="cellIs" dxfId="2638" priority="116" stopIfTrue="1" operator="lessThan">
      <formula>-0.03</formula>
    </cfRule>
  </conditionalFormatting>
  <conditionalFormatting sqref="I20:I22">
    <cfRule type="cellIs" dxfId="2637" priority="123" operator="greaterThan">
      <formula>0.03</formula>
    </cfRule>
    <cfRule type="cellIs" dxfId="2636" priority="124" stopIfTrue="1" operator="lessThan">
      <formula>-0.03</formula>
    </cfRule>
  </conditionalFormatting>
  <conditionalFormatting sqref="I20:I22">
    <cfRule type="cellIs" dxfId="2635" priority="121" operator="greaterThan">
      <formula>0.03</formula>
    </cfRule>
    <cfRule type="cellIs" dxfId="2634" priority="122" stopIfTrue="1" operator="lessThan">
      <formula>-0.03</formula>
    </cfRule>
  </conditionalFormatting>
  <conditionalFormatting sqref="I12:I14 I16:I18">
    <cfRule type="cellIs" dxfId="2633" priority="111" operator="greaterThan">
      <formula>0.03</formula>
    </cfRule>
    <cfRule type="cellIs" dxfId="2632" priority="112" stopIfTrue="1" operator="lessThan">
      <formula>-0.03</formula>
    </cfRule>
  </conditionalFormatting>
  <conditionalFormatting sqref="I12:I14 I16:I18">
    <cfRule type="cellIs" dxfId="2631" priority="113" operator="greaterThan">
      <formula>0.03</formula>
    </cfRule>
    <cfRule type="cellIs" dxfId="2630" priority="114" stopIfTrue="1" operator="lessThan">
      <formula>-0.03</formula>
    </cfRule>
  </conditionalFormatting>
  <conditionalFormatting sqref="I11">
    <cfRule type="cellIs" dxfId="2629" priority="109" operator="greaterThan">
      <formula>0.03</formula>
    </cfRule>
    <cfRule type="cellIs" dxfId="2628" priority="110" stopIfTrue="1" operator="lessThan">
      <formula>-0.03</formula>
    </cfRule>
  </conditionalFormatting>
  <conditionalFormatting sqref="I11">
    <cfRule type="cellIs" dxfId="2627" priority="107" operator="greaterThan">
      <formula>0.03</formula>
    </cfRule>
    <cfRule type="cellIs" dxfId="2626" priority="108" stopIfTrue="1" operator="lessThan">
      <formula>-0.03</formula>
    </cfRule>
  </conditionalFormatting>
  <conditionalFormatting sqref="I11">
    <cfRule type="cellIs" dxfId="2625" priority="105" operator="greaterThan">
      <formula>0.03</formula>
    </cfRule>
    <cfRule type="cellIs" dxfId="2624" priority="106" stopIfTrue="1" operator="lessThan">
      <formula>-0.03</formula>
    </cfRule>
  </conditionalFormatting>
  <conditionalFormatting sqref="I11">
    <cfRule type="cellIs" dxfId="2623" priority="103" operator="greaterThan">
      <formula>0.03</formula>
    </cfRule>
    <cfRule type="cellIs" dxfId="2622" priority="104" stopIfTrue="1" operator="lessThan">
      <formula>-0.03</formula>
    </cfRule>
  </conditionalFormatting>
  <conditionalFormatting sqref="I11">
    <cfRule type="cellIs" dxfId="2621" priority="101" operator="greaterThan">
      <formula>0.03</formula>
    </cfRule>
    <cfRule type="cellIs" dxfId="2620" priority="102" stopIfTrue="1" operator="lessThan">
      <formula>-0.03</formula>
    </cfRule>
  </conditionalFormatting>
  <conditionalFormatting sqref="I24:I26">
    <cfRule type="cellIs" dxfId="2619" priority="79" operator="greaterThan">
      <formula>0.03</formula>
    </cfRule>
    <cfRule type="cellIs" dxfId="2618" priority="80" stopIfTrue="1" operator="lessThan">
      <formula>-0.03</formula>
    </cfRule>
  </conditionalFormatting>
  <conditionalFormatting sqref="I24:I26">
    <cfRule type="cellIs" dxfId="2617" priority="77" operator="greaterThan">
      <formula>0.03</formula>
    </cfRule>
    <cfRule type="cellIs" dxfId="2616" priority="78" stopIfTrue="1" operator="lessThan">
      <formula>-0.03</formula>
    </cfRule>
  </conditionalFormatting>
  <conditionalFormatting sqref="I27">
    <cfRule type="cellIs" dxfId="2615" priority="59" operator="greaterThan">
      <formula>0.03</formula>
    </cfRule>
    <cfRule type="cellIs" dxfId="2614" priority="60" stopIfTrue="1" operator="lessThan">
      <formula>-0.03</formula>
    </cfRule>
  </conditionalFormatting>
  <conditionalFormatting sqref="I27">
    <cfRule type="cellIs" dxfId="2613" priority="57" operator="greaterThan">
      <formula>0.03</formula>
    </cfRule>
    <cfRule type="cellIs" dxfId="2612" priority="58" stopIfTrue="1" operator="lessThan">
      <formula>-0.03</formula>
    </cfRule>
  </conditionalFormatting>
  <conditionalFormatting sqref="I27">
    <cfRule type="cellIs" dxfId="2611" priority="55" operator="greaterThan">
      <formula>0.03</formula>
    </cfRule>
    <cfRule type="cellIs" dxfId="2610" priority="56" stopIfTrue="1" operator="lessThan">
      <formula>-0.03</formula>
    </cfRule>
  </conditionalFormatting>
  <conditionalFormatting sqref="I27">
    <cfRule type="cellIs" dxfId="2609" priority="53" operator="greaterThan">
      <formula>0.03</formula>
    </cfRule>
    <cfRule type="cellIs" dxfId="2608" priority="54" stopIfTrue="1" operator="lessThan">
      <formula>-0.03</formula>
    </cfRule>
  </conditionalFormatting>
  <conditionalFormatting sqref="I27">
    <cfRule type="cellIs" dxfId="2607" priority="51" operator="greaterThan">
      <formula>0.03</formula>
    </cfRule>
    <cfRule type="cellIs" dxfId="2606" priority="52" stopIfTrue="1" operator="lessThan">
      <formula>-0.03</formula>
    </cfRule>
  </conditionalFormatting>
  <conditionalFormatting sqref="I24:I26">
    <cfRule type="cellIs" dxfId="2605" priority="75" operator="greaterThan">
      <formula>0.03</formula>
    </cfRule>
    <cfRule type="cellIs" dxfId="2604" priority="76" stopIfTrue="1" operator="lessThan">
      <formula>-0.03</formula>
    </cfRule>
  </conditionalFormatting>
  <conditionalFormatting sqref="I24:I26">
    <cfRule type="cellIs" dxfId="2603" priority="71" operator="greaterThan">
      <formula>0.03</formula>
    </cfRule>
    <cfRule type="cellIs" dxfId="2602" priority="72" stopIfTrue="1" operator="lessThan">
      <formula>-0.03</formula>
    </cfRule>
  </conditionalFormatting>
  <conditionalFormatting sqref="I24:I26">
    <cfRule type="cellIs" dxfId="2601" priority="73" operator="greaterThan">
      <formula>0.03</formula>
    </cfRule>
    <cfRule type="cellIs" dxfId="2600" priority="74" stopIfTrue="1" operator="lessThan">
      <formula>-0.03</formula>
    </cfRule>
  </conditionalFormatting>
  <conditionalFormatting sqref="I23">
    <cfRule type="cellIs" dxfId="2599" priority="69" operator="greaterThan">
      <formula>0.03</formula>
    </cfRule>
    <cfRule type="cellIs" dxfId="2598" priority="70" stopIfTrue="1" operator="lessThan">
      <formula>-0.03</formula>
    </cfRule>
  </conditionalFormatting>
  <conditionalFormatting sqref="I23">
    <cfRule type="cellIs" dxfId="2597" priority="67" operator="greaterThan">
      <formula>0.03</formula>
    </cfRule>
    <cfRule type="cellIs" dxfId="2596" priority="68" stopIfTrue="1" operator="lessThan">
      <formula>-0.03</formula>
    </cfRule>
  </conditionalFormatting>
  <conditionalFormatting sqref="I23">
    <cfRule type="cellIs" dxfId="2595" priority="65" operator="greaterThan">
      <formula>0.03</formula>
    </cfRule>
    <cfRule type="cellIs" dxfId="2594" priority="66" stopIfTrue="1" operator="lessThan">
      <formula>-0.03</formula>
    </cfRule>
  </conditionalFormatting>
  <conditionalFormatting sqref="I23">
    <cfRule type="cellIs" dxfId="2593" priority="63" operator="greaterThan">
      <formula>0.03</formula>
    </cfRule>
    <cfRule type="cellIs" dxfId="2592" priority="64" stopIfTrue="1" operator="lessThan">
      <formula>-0.03</formula>
    </cfRule>
  </conditionalFormatting>
  <conditionalFormatting sqref="I23">
    <cfRule type="cellIs" dxfId="2591" priority="61" operator="greaterThan">
      <formula>0.03</formula>
    </cfRule>
    <cfRule type="cellIs" dxfId="2590" priority="62" stopIfTrue="1" operator="lessThan">
      <formula>-0.03</formula>
    </cfRule>
  </conditionalFormatting>
  <conditionalFormatting sqref="I4:I6 I8:I10">
    <cfRule type="cellIs" dxfId="2589" priority="49" operator="greaterThan">
      <formula>0.03</formula>
    </cfRule>
    <cfRule type="cellIs" dxfId="2588" priority="50" stopIfTrue="1" operator="lessThan">
      <formula>-0.03</formula>
    </cfRule>
  </conditionalFormatting>
  <conditionalFormatting sqref="I4:I6 I8:I10">
    <cfRule type="cellIs" dxfId="2587" priority="47" operator="greaterThan">
      <formula>0.03</formula>
    </cfRule>
    <cfRule type="cellIs" dxfId="2586" priority="48" stopIfTrue="1" operator="lessThan">
      <formula>-0.03</formula>
    </cfRule>
  </conditionalFormatting>
  <conditionalFormatting sqref="I4:I6 I8:I10">
    <cfRule type="cellIs" dxfId="2585" priority="45" operator="greaterThan">
      <formula>0.03</formula>
    </cfRule>
    <cfRule type="cellIs" dxfId="2584" priority="46" stopIfTrue="1" operator="lessThan">
      <formula>-0.03</formula>
    </cfRule>
  </conditionalFormatting>
  <conditionalFormatting sqref="I4:I6 I8:I10">
    <cfRule type="cellIs" dxfId="2583" priority="41" operator="greaterThan">
      <formula>0.03</formula>
    </cfRule>
    <cfRule type="cellIs" dxfId="2582" priority="42" stopIfTrue="1" operator="lessThan">
      <formula>-0.03</formula>
    </cfRule>
  </conditionalFormatting>
  <conditionalFormatting sqref="I4:I6 I8:I10">
    <cfRule type="cellIs" dxfId="2581" priority="43" operator="greaterThan">
      <formula>0.03</formula>
    </cfRule>
    <cfRule type="cellIs" dxfId="2580" priority="44" stopIfTrue="1" operator="lessThan">
      <formula>-0.03</formula>
    </cfRule>
  </conditionalFormatting>
  <conditionalFormatting sqref="I3">
    <cfRule type="cellIs" dxfId="2579" priority="39" operator="greaterThan">
      <formula>0.03</formula>
    </cfRule>
    <cfRule type="cellIs" dxfId="2578" priority="40" stopIfTrue="1" operator="lessThan">
      <formula>-0.03</formula>
    </cfRule>
  </conditionalFormatting>
  <conditionalFormatting sqref="I3">
    <cfRule type="cellIs" dxfId="2577" priority="37" operator="greaterThan">
      <formula>0.03</formula>
    </cfRule>
    <cfRule type="cellIs" dxfId="2576" priority="38" stopIfTrue="1" operator="lessThan">
      <formula>-0.03</formula>
    </cfRule>
  </conditionalFormatting>
  <conditionalFormatting sqref="I3">
    <cfRule type="cellIs" dxfId="2575" priority="35" operator="greaterThan">
      <formula>0.03</formula>
    </cfRule>
    <cfRule type="cellIs" dxfId="2574" priority="36" stopIfTrue="1" operator="lessThan">
      <formula>-0.03</formula>
    </cfRule>
  </conditionalFormatting>
  <conditionalFormatting sqref="I3">
    <cfRule type="cellIs" dxfId="2573" priority="33" operator="greaterThan">
      <formula>0.03</formula>
    </cfRule>
    <cfRule type="cellIs" dxfId="2572" priority="34" stopIfTrue="1" operator="lessThan">
      <formula>-0.03</formula>
    </cfRule>
  </conditionalFormatting>
  <conditionalFormatting sqref="I3">
    <cfRule type="cellIs" dxfId="2571" priority="31" operator="greaterThan">
      <formula>0.03</formula>
    </cfRule>
    <cfRule type="cellIs" dxfId="2570" priority="32" stopIfTrue="1" operator="lessThan">
      <formula>-0.03</formula>
    </cfRule>
  </conditionalFormatting>
  <conditionalFormatting sqref="I7">
    <cfRule type="cellIs" dxfId="2569" priority="29" operator="greaterThan">
      <formula>0.03</formula>
    </cfRule>
    <cfRule type="cellIs" dxfId="2568" priority="30" stopIfTrue="1" operator="lessThan">
      <formula>-0.03</formula>
    </cfRule>
  </conditionalFormatting>
  <conditionalFormatting sqref="I7">
    <cfRule type="cellIs" dxfId="2567" priority="27" operator="greaterThan">
      <formula>0.03</formula>
    </cfRule>
    <cfRule type="cellIs" dxfId="2566" priority="28" stopIfTrue="1" operator="lessThan">
      <formula>-0.03</formula>
    </cfRule>
  </conditionalFormatting>
  <conditionalFormatting sqref="I7">
    <cfRule type="cellIs" dxfId="2565" priority="25" operator="greaterThan">
      <formula>0.03</formula>
    </cfRule>
    <cfRule type="cellIs" dxfId="2564" priority="26" stopIfTrue="1" operator="lessThan">
      <formula>-0.03</formula>
    </cfRule>
  </conditionalFormatting>
  <conditionalFormatting sqref="I7">
    <cfRule type="cellIs" dxfId="2563" priority="23" operator="greaterThan">
      <formula>0.03</formula>
    </cfRule>
    <cfRule type="cellIs" dxfId="2562" priority="24" stopIfTrue="1" operator="lessThan">
      <formula>-0.03</formula>
    </cfRule>
  </conditionalFormatting>
  <conditionalFormatting sqref="I7">
    <cfRule type="cellIs" dxfId="2561" priority="21" operator="greaterThan">
      <formula>0.03</formula>
    </cfRule>
    <cfRule type="cellIs" dxfId="2560" priority="22" stopIfTrue="1" operator="lessThan">
      <formula>-0.03</formula>
    </cfRule>
  </conditionalFormatting>
  <conditionalFormatting sqref="I15">
    <cfRule type="cellIs" dxfId="2559" priority="19" operator="greaterThan">
      <formula>0.03</formula>
    </cfRule>
    <cfRule type="cellIs" dxfId="2558" priority="20" stopIfTrue="1" operator="lessThan">
      <formula>-0.03</formula>
    </cfRule>
  </conditionalFormatting>
  <conditionalFormatting sqref="I15">
    <cfRule type="cellIs" dxfId="2557" priority="17" operator="greaterThan">
      <formula>0.03</formula>
    </cfRule>
    <cfRule type="cellIs" dxfId="2556" priority="18" stopIfTrue="1" operator="lessThan">
      <formula>-0.03</formula>
    </cfRule>
  </conditionalFormatting>
  <conditionalFormatting sqref="I15">
    <cfRule type="cellIs" dxfId="2555" priority="15" operator="greaterThan">
      <formula>0.03</formula>
    </cfRule>
    <cfRule type="cellIs" dxfId="2554" priority="16" stopIfTrue="1" operator="lessThan">
      <formula>-0.03</formula>
    </cfRule>
  </conditionalFormatting>
  <conditionalFormatting sqref="I15">
    <cfRule type="cellIs" dxfId="2553" priority="13" operator="greaterThan">
      <formula>0.03</formula>
    </cfRule>
    <cfRule type="cellIs" dxfId="2552" priority="14" stopIfTrue="1" operator="lessThan">
      <formula>-0.03</formula>
    </cfRule>
  </conditionalFormatting>
  <conditionalFormatting sqref="I15">
    <cfRule type="cellIs" dxfId="2551" priority="11" operator="greaterThan">
      <formula>0.03</formula>
    </cfRule>
    <cfRule type="cellIs" dxfId="2550" priority="12" stopIfTrue="1" operator="lessThan">
      <formula>-0.03</formula>
    </cfRule>
  </conditionalFormatting>
  <conditionalFormatting sqref="I33">
    <cfRule type="cellIs" dxfId="2549" priority="9" operator="greaterThan">
      <formula>0.03</formula>
    </cfRule>
    <cfRule type="cellIs" dxfId="2548" priority="10" stopIfTrue="1" operator="lessThan">
      <formula>-0.03</formula>
    </cfRule>
  </conditionalFormatting>
  <conditionalFormatting sqref="I33">
    <cfRule type="cellIs" dxfId="2547" priority="7" operator="greaterThan">
      <formula>0.03</formula>
    </cfRule>
    <cfRule type="cellIs" dxfId="2546" priority="8" stopIfTrue="1" operator="lessThan">
      <formula>-0.03</formula>
    </cfRule>
  </conditionalFormatting>
  <conditionalFormatting sqref="I33">
    <cfRule type="cellIs" dxfId="2545" priority="5" operator="greaterThan">
      <formula>0.03</formula>
    </cfRule>
    <cfRule type="cellIs" dxfId="2544" priority="6" stopIfTrue="1" operator="lessThan">
      <formula>-0.03</formula>
    </cfRule>
  </conditionalFormatting>
  <conditionalFormatting sqref="I33">
    <cfRule type="cellIs" dxfId="2543" priority="3" operator="greaterThan">
      <formula>0.03</formula>
    </cfRule>
    <cfRule type="cellIs" dxfId="2542" priority="4" stopIfTrue="1" operator="lessThan">
      <formula>-0.03</formula>
    </cfRule>
  </conditionalFormatting>
  <conditionalFormatting sqref="I33">
    <cfRule type="cellIs" dxfId="2541" priority="1" operator="greaterThan">
      <formula>0.03</formula>
    </cfRule>
    <cfRule type="cellIs" dxfId="2540" priority="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7BF19-06D7-4D1B-90D6-DA6C606941C3}">
  <dimension ref="A1:I42"/>
  <sheetViews>
    <sheetView zoomScaleNormal="100" workbookViewId="0">
      <selection activeCell="L27" sqref="L27"/>
    </sheetView>
  </sheetViews>
  <sheetFormatPr defaultColWidth="8.875" defaultRowHeight="14.25"/>
  <cols>
    <col min="2" max="2" width="25.375" bestFit="1" customWidth="1"/>
    <col min="3" max="3" width="5.875" bestFit="1" customWidth="1"/>
    <col min="5" max="5" width="8.5" bestFit="1" customWidth="1"/>
    <col min="6" max="6" width="3.625" bestFit="1" customWidth="1"/>
  </cols>
  <sheetData>
    <row r="1" spans="1:9" ht="15" thickBot="1">
      <c r="A1" s="1"/>
      <c r="B1" s="1"/>
      <c r="C1" s="1"/>
      <c r="D1" s="28" t="s">
        <v>25</v>
      </c>
      <c r="E1" s="29"/>
      <c r="F1" s="1"/>
      <c r="G1" s="28" t="s">
        <v>26</v>
      </c>
      <c r="H1" s="29"/>
      <c r="I1" s="25"/>
    </row>
    <row r="2" spans="1:9" ht="15" thickBot="1">
      <c r="A2" s="2"/>
      <c r="B2" s="3"/>
      <c r="C2" s="22" t="s">
        <v>24</v>
      </c>
      <c r="D2" s="13" t="s">
        <v>0</v>
      </c>
      <c r="E2" s="5" t="s">
        <v>31</v>
      </c>
      <c r="F2" s="22" t="s">
        <v>24</v>
      </c>
      <c r="G2" s="13" t="s">
        <v>0</v>
      </c>
      <c r="H2" s="5" t="s">
        <v>31</v>
      </c>
      <c r="I2" s="5" t="s">
        <v>31</v>
      </c>
    </row>
    <row r="3" spans="1:9">
      <c r="A3" s="20" t="s">
        <v>32</v>
      </c>
      <c r="B3" s="24" t="s">
        <v>33</v>
      </c>
      <c r="C3" s="6">
        <v>27</v>
      </c>
      <c r="D3" s="24">
        <v>0.13102494855967001</v>
      </c>
      <c r="E3" s="24">
        <v>34.8230590820312</v>
      </c>
      <c r="F3" s="6">
        <v>27</v>
      </c>
      <c r="G3" s="24">
        <v>0.14995177469135801</v>
      </c>
      <c r="H3" s="24">
        <v>34.983188629150298</v>
      </c>
      <c r="I3" s="7">
        <f>bdrate($D3:$D6,E3:E6,$G3:$G6,H3:H6)</f>
        <v>-7.5728922107672125E-2</v>
      </c>
    </row>
    <row r="4" spans="1:9">
      <c r="A4" s="14" t="s">
        <v>5</v>
      </c>
      <c r="B4" s="16"/>
      <c r="C4" s="8">
        <v>32</v>
      </c>
      <c r="D4" s="24">
        <v>5.5262667181069897E-2</v>
      </c>
      <c r="E4" s="24">
        <v>34.2650337219238</v>
      </c>
      <c r="F4" s="8">
        <v>32</v>
      </c>
      <c r="G4" s="24">
        <v>6.1662487139917697E-2</v>
      </c>
      <c r="H4" s="24">
        <v>34.346721649169901</v>
      </c>
      <c r="I4" s="9"/>
    </row>
    <row r="5" spans="1:9">
      <c r="A5" s="8"/>
      <c r="B5" s="16"/>
      <c r="C5" s="8">
        <v>38</v>
      </c>
      <c r="D5" s="24">
        <v>3.13851916152263E-2</v>
      </c>
      <c r="E5" s="24">
        <v>33.978195190429602</v>
      </c>
      <c r="F5" s="8">
        <v>38</v>
      </c>
      <c r="G5" s="24">
        <v>3.2369470164608997E-2</v>
      </c>
      <c r="H5" s="24">
        <v>34.062736511230398</v>
      </c>
      <c r="I5" s="9"/>
    </row>
    <row r="6" spans="1:9" ht="15" thickBot="1">
      <c r="A6" s="8"/>
      <c r="B6" s="17"/>
      <c r="C6" s="10">
        <v>45</v>
      </c>
      <c r="D6" s="24">
        <v>1.7379275977366201E-2</v>
      </c>
      <c r="E6" s="24">
        <v>33.604076385497997</v>
      </c>
      <c r="F6" s="10">
        <v>45</v>
      </c>
      <c r="G6" s="24">
        <v>1.7896412037036999E-2</v>
      </c>
      <c r="H6" s="24">
        <v>33.771053314208899</v>
      </c>
      <c r="I6" s="2"/>
    </row>
    <row r="7" spans="1:9">
      <c r="A7" s="8"/>
      <c r="B7" s="24" t="s">
        <v>34</v>
      </c>
      <c r="C7" s="6">
        <v>27</v>
      </c>
      <c r="D7" s="24">
        <v>5.6991062242798297E-2</v>
      </c>
      <c r="E7" s="24">
        <v>39.6392211914062</v>
      </c>
      <c r="F7" s="6">
        <v>27</v>
      </c>
      <c r="G7" s="24">
        <v>4.3428819444444398E-2</v>
      </c>
      <c r="H7" s="24">
        <v>40.266078948974602</v>
      </c>
      <c r="I7" s="7">
        <f>bdrate($D7:$D10,E7:E10,$G7:$G10,H7:H10)</f>
        <v>-0.41360448695561913</v>
      </c>
    </row>
    <row r="8" spans="1:9">
      <c r="A8" s="8"/>
      <c r="B8" s="16"/>
      <c r="C8" s="8">
        <v>32</v>
      </c>
      <c r="D8" s="24">
        <v>3.5741705246913502E-2</v>
      </c>
      <c r="E8" s="24">
        <v>38.532684326171797</v>
      </c>
      <c r="F8" s="8">
        <v>32</v>
      </c>
      <c r="G8" s="24">
        <v>2.8254886831275701E-2</v>
      </c>
      <c r="H8" s="24">
        <v>39.311233520507798</v>
      </c>
      <c r="I8" s="9"/>
    </row>
    <row r="9" spans="1:9">
      <c r="A9" s="8"/>
      <c r="B9" s="16"/>
      <c r="C9" s="8">
        <v>38</v>
      </c>
      <c r="D9" s="24">
        <v>2.3069862397119299E-2</v>
      </c>
      <c r="E9" s="24">
        <v>37.331943511962798</v>
      </c>
      <c r="F9" s="8">
        <v>38</v>
      </c>
      <c r="G9" s="24">
        <v>1.90936856995884E-2</v>
      </c>
      <c r="H9" s="24">
        <v>38.329742431640597</v>
      </c>
      <c r="I9" s="9"/>
    </row>
    <row r="10" spans="1:9" ht="15" thickBot="1">
      <c r="A10" s="8"/>
      <c r="B10" s="17"/>
      <c r="C10" s="10">
        <v>45</v>
      </c>
      <c r="D10" s="24">
        <v>1.4155414094650201E-2</v>
      </c>
      <c r="E10" s="24">
        <v>35.686119079589801</v>
      </c>
      <c r="F10" s="10">
        <v>45</v>
      </c>
      <c r="G10" s="24">
        <v>1.26295653292181E-2</v>
      </c>
      <c r="H10" s="24">
        <v>36.921363830566399</v>
      </c>
      <c r="I10" s="9"/>
    </row>
    <row r="11" spans="1:9">
      <c r="A11" s="14"/>
      <c r="B11" s="24" t="s">
        <v>35</v>
      </c>
      <c r="C11" s="6">
        <v>27</v>
      </c>
      <c r="D11" s="24">
        <v>2.2645318930041101E-2</v>
      </c>
      <c r="E11" s="24">
        <v>37.742992401122997</v>
      </c>
      <c r="F11" s="6">
        <v>27</v>
      </c>
      <c r="G11" s="24">
        <v>2.0977687757201598E-2</v>
      </c>
      <c r="H11" s="24">
        <v>38.315940856933501</v>
      </c>
      <c r="I11" s="7">
        <f>bdrate($D11:$D14,E11:E14,$G11:$G14,H11:H14)</f>
        <v>-0.38918382016020592</v>
      </c>
    </row>
    <row r="12" spans="1:9">
      <c r="A12" s="14"/>
      <c r="B12" s="16"/>
      <c r="C12" s="8">
        <v>32</v>
      </c>
      <c r="D12" s="24">
        <v>1.62069187242798E-2</v>
      </c>
      <c r="E12" s="24">
        <v>37.486782073974602</v>
      </c>
      <c r="F12" s="8">
        <v>32</v>
      </c>
      <c r="G12" s="24">
        <v>1.55012217078189E-2</v>
      </c>
      <c r="H12" s="24">
        <v>38.1356811523437</v>
      </c>
      <c r="I12" s="9"/>
    </row>
    <row r="13" spans="1:9">
      <c r="A13" s="8"/>
      <c r="B13" s="16"/>
      <c r="C13" s="8">
        <v>38</v>
      </c>
      <c r="D13" s="24">
        <v>1.22326710390946E-2</v>
      </c>
      <c r="E13" s="24">
        <v>37.098365783691399</v>
      </c>
      <c r="F13" s="8">
        <v>38</v>
      </c>
      <c r="G13" s="24">
        <v>1.1842046039094599E-2</v>
      </c>
      <c r="H13" s="24">
        <v>37.829761505126903</v>
      </c>
      <c r="I13" s="9"/>
    </row>
    <row r="14" spans="1:9" ht="15" thickBot="1">
      <c r="A14" s="8"/>
      <c r="B14" s="17"/>
      <c r="C14" s="10">
        <v>45</v>
      </c>
      <c r="D14" s="24">
        <v>9.0432098765432095E-3</v>
      </c>
      <c r="E14" s="24">
        <v>36.139297485351499</v>
      </c>
      <c r="F14" s="10">
        <v>45</v>
      </c>
      <c r="G14" s="24">
        <v>8.75562628600823E-3</v>
      </c>
      <c r="H14" s="24">
        <v>37.125286102294901</v>
      </c>
      <c r="I14" s="2"/>
    </row>
    <row r="15" spans="1:9">
      <c r="A15" s="8"/>
      <c r="B15" s="24" t="s">
        <v>36</v>
      </c>
      <c r="C15" s="6">
        <v>27</v>
      </c>
      <c r="D15" s="24">
        <v>6.2148598251028801E-2</v>
      </c>
      <c r="E15" s="24">
        <v>38.771438598632798</v>
      </c>
      <c r="F15" s="6">
        <v>27</v>
      </c>
      <c r="G15" s="24">
        <v>6.2148598251028801E-2</v>
      </c>
      <c r="H15" s="24">
        <v>38.771438598632798</v>
      </c>
      <c r="I15" s="7">
        <f>bdrate($D15:$D18,E15:E18,$G15:$G18,H15:H18)</f>
        <v>0</v>
      </c>
    </row>
    <row r="16" spans="1:9">
      <c r="A16" s="8"/>
      <c r="B16" s="16"/>
      <c r="C16" s="8">
        <v>32</v>
      </c>
      <c r="D16" s="24">
        <v>4.2090727880658402E-2</v>
      </c>
      <c r="E16" s="24">
        <v>38.169677734375</v>
      </c>
      <c r="F16" s="8">
        <v>32</v>
      </c>
      <c r="G16" s="24">
        <v>4.2090727880658402E-2</v>
      </c>
      <c r="H16" s="24">
        <v>38.169677734375</v>
      </c>
      <c r="I16" s="9"/>
    </row>
    <row r="17" spans="1:9">
      <c r="A17" s="8"/>
      <c r="B17" s="16"/>
      <c r="C17" s="8">
        <v>38</v>
      </c>
      <c r="D17" s="24">
        <v>3.03526877572016E-2</v>
      </c>
      <c r="E17" s="24">
        <v>37.487010955810497</v>
      </c>
      <c r="F17" s="8">
        <v>38</v>
      </c>
      <c r="G17" s="24">
        <v>3.03526877572016E-2</v>
      </c>
      <c r="H17" s="24">
        <v>37.487010955810497</v>
      </c>
      <c r="I17" s="9"/>
    </row>
    <row r="18" spans="1:9" ht="15" thickBot="1">
      <c r="A18" s="8"/>
      <c r="B18" s="17"/>
      <c r="C18" s="10">
        <v>45</v>
      </c>
      <c r="D18" s="24">
        <v>2.1547228652263301E-2</v>
      </c>
      <c r="E18" s="24">
        <v>36.276405334472599</v>
      </c>
      <c r="F18" s="10">
        <v>45</v>
      </c>
      <c r="G18" s="24">
        <v>2.1547228652263301E-2</v>
      </c>
      <c r="H18" s="24">
        <v>36.276405334472599</v>
      </c>
      <c r="I18" s="9"/>
    </row>
    <row r="19" spans="1:9">
      <c r="A19" s="8"/>
      <c r="B19" s="24" t="s">
        <v>37</v>
      </c>
      <c r="C19" s="6">
        <v>27</v>
      </c>
      <c r="D19" s="24">
        <v>8.2705118312757203E-2</v>
      </c>
      <c r="E19" s="24">
        <v>38.5883178710937</v>
      </c>
      <c r="F19" s="6">
        <v>27</v>
      </c>
      <c r="G19" s="24">
        <v>8.2705118312757203E-2</v>
      </c>
      <c r="H19" s="24">
        <v>38.5883178710937</v>
      </c>
      <c r="I19" s="7">
        <f>bdrate($D19:$D22,E19:E22,$G19:$G22,H19:H22)</f>
        <v>0</v>
      </c>
    </row>
    <row r="20" spans="1:9">
      <c r="A20" s="8"/>
      <c r="B20" s="16"/>
      <c r="C20" s="8">
        <v>32</v>
      </c>
      <c r="D20" s="24">
        <v>5.8443126286008201E-2</v>
      </c>
      <c r="E20" s="24">
        <v>37.604438781738203</v>
      </c>
      <c r="F20" s="8">
        <v>32</v>
      </c>
      <c r="G20" s="24">
        <v>5.8443126286008201E-2</v>
      </c>
      <c r="H20" s="24">
        <v>37.604438781738203</v>
      </c>
      <c r="I20" s="9"/>
    </row>
    <row r="21" spans="1:9">
      <c r="A21" s="8"/>
      <c r="B21" s="16"/>
      <c r="C21" s="8">
        <v>38</v>
      </c>
      <c r="D21" s="24">
        <v>4.1622620884773601E-2</v>
      </c>
      <c r="E21" s="24">
        <v>36.537948608398402</v>
      </c>
      <c r="F21" s="8">
        <v>38</v>
      </c>
      <c r="G21" s="24">
        <v>4.1622620884773601E-2</v>
      </c>
      <c r="H21" s="24">
        <v>36.537948608398402</v>
      </c>
      <c r="I21" s="9"/>
    </row>
    <row r="22" spans="1:9" ht="15" thickBot="1">
      <c r="A22" s="8"/>
      <c r="B22" s="17"/>
      <c r="C22" s="10">
        <v>45</v>
      </c>
      <c r="D22" s="24">
        <v>2.8709972993827101E-2</v>
      </c>
      <c r="E22" s="24">
        <v>34.842987060546797</v>
      </c>
      <c r="F22" s="10">
        <v>45</v>
      </c>
      <c r="G22" s="24">
        <v>2.8709972993827101E-2</v>
      </c>
      <c r="H22" s="24">
        <v>34.842987060546797</v>
      </c>
      <c r="I22" s="2"/>
    </row>
    <row r="23" spans="1:9">
      <c r="A23" s="26"/>
      <c r="B23" s="24" t="s">
        <v>38</v>
      </c>
      <c r="C23" s="6">
        <v>27</v>
      </c>
      <c r="D23" s="24">
        <v>0.22560731738683101</v>
      </c>
      <c r="E23" s="24">
        <v>37.335689544677699</v>
      </c>
      <c r="F23" s="6">
        <v>27</v>
      </c>
      <c r="G23" s="24">
        <v>0.228883745</v>
      </c>
      <c r="H23" s="24">
        <v>37.755332950000003</v>
      </c>
      <c r="I23" s="7">
        <f>bdrate($D23:$D26,E23:E26,$G23:$G26,H23:H26)</f>
        <v>-0.16821230493071726</v>
      </c>
    </row>
    <row r="24" spans="1:9">
      <c r="A24" s="14"/>
      <c r="B24" s="16"/>
      <c r="C24" s="8">
        <v>32</v>
      </c>
      <c r="D24" s="24">
        <v>0.147040412808641</v>
      </c>
      <c r="E24" s="24">
        <v>36.262279510497997</v>
      </c>
      <c r="F24" s="8">
        <v>32</v>
      </c>
      <c r="G24" s="24">
        <v>0.14863522400000001</v>
      </c>
      <c r="H24" s="24">
        <v>36.737716669999998</v>
      </c>
      <c r="I24" s="9"/>
    </row>
    <row r="25" spans="1:9">
      <c r="A25" s="8"/>
      <c r="B25" s="16"/>
      <c r="C25" s="8">
        <v>38</v>
      </c>
      <c r="D25" s="24">
        <v>9.3587159207818904E-2</v>
      </c>
      <c r="E25" s="24">
        <v>35.0457954406738</v>
      </c>
      <c r="F25" s="8">
        <v>38</v>
      </c>
      <c r="G25" s="24">
        <v>9.5174093000000001E-2</v>
      </c>
      <c r="H25" s="24">
        <v>35.590343480000001</v>
      </c>
      <c r="I25" s="9"/>
    </row>
    <row r="26" spans="1:9" ht="15" thickBot="1">
      <c r="A26" s="8"/>
      <c r="B26" s="17"/>
      <c r="C26" s="10">
        <v>45</v>
      </c>
      <c r="D26" s="24">
        <v>4.81828703703703E-2</v>
      </c>
      <c r="E26" s="24">
        <v>33.254096984863203</v>
      </c>
      <c r="F26" s="10">
        <v>45</v>
      </c>
      <c r="G26" s="24">
        <v>5.0507812999999999E-2</v>
      </c>
      <c r="H26" s="24">
        <v>33.913635249999999</v>
      </c>
      <c r="I26" s="2"/>
    </row>
    <row r="27" spans="1:9">
      <c r="A27" s="8"/>
      <c r="B27" s="24" t="s">
        <v>39</v>
      </c>
      <c r="C27" s="6">
        <v>27</v>
      </c>
      <c r="D27" s="24">
        <v>0.15639387217078099</v>
      </c>
      <c r="E27" s="24">
        <v>39.489189147949197</v>
      </c>
      <c r="F27" s="6">
        <v>27</v>
      </c>
      <c r="G27" s="24">
        <v>0.156681456</v>
      </c>
      <c r="H27" s="24">
        <v>39.546115880000002</v>
      </c>
      <c r="I27" s="7">
        <f>bdrate($D27:$D30,E27:E30,$G27:$G30,H27:H30)</f>
        <v>-2.4915163263158235E-2</v>
      </c>
    </row>
    <row r="28" spans="1:9">
      <c r="A28" s="8"/>
      <c r="B28" s="16"/>
      <c r="C28" s="8">
        <v>32</v>
      </c>
      <c r="D28" s="24">
        <v>0.10866480195473199</v>
      </c>
      <c r="E28" s="24">
        <v>38.256629943847599</v>
      </c>
      <c r="F28" s="8">
        <v>32</v>
      </c>
      <c r="G28" s="24">
        <v>0.10848556500000001</v>
      </c>
      <c r="H28" s="24">
        <v>38.331924440000002</v>
      </c>
      <c r="I28" s="9"/>
    </row>
    <row r="29" spans="1:9">
      <c r="A29" s="8"/>
      <c r="B29" s="16"/>
      <c r="C29" s="8">
        <v>38</v>
      </c>
      <c r="D29" s="24">
        <v>7.4816743827160498E-2</v>
      </c>
      <c r="E29" s="24">
        <v>36.910957336425703</v>
      </c>
      <c r="F29" s="8">
        <v>38</v>
      </c>
      <c r="G29" s="24">
        <v>7.4289641000000003E-2</v>
      </c>
      <c r="H29" s="24">
        <v>36.982460019999998</v>
      </c>
      <c r="I29" s="9"/>
    </row>
    <row r="30" spans="1:9" ht="15" thickBot="1">
      <c r="A30" s="8"/>
      <c r="B30" s="17"/>
      <c r="C30" s="10">
        <v>45</v>
      </c>
      <c r="D30" s="24">
        <v>4.4689911265432099E-2</v>
      </c>
      <c r="E30" s="24">
        <v>34.934749603271399</v>
      </c>
      <c r="F30" s="10">
        <v>45</v>
      </c>
      <c r="G30" s="24">
        <v>4.4305877E-2</v>
      </c>
      <c r="H30" s="24">
        <v>35.020759580000004</v>
      </c>
      <c r="I30" s="2"/>
    </row>
    <row r="31" spans="1:9" ht="15" thickBot="1">
      <c r="A31" s="11"/>
      <c r="B31" s="4" t="s">
        <v>2</v>
      </c>
      <c r="C31" s="18"/>
      <c r="D31" s="11"/>
      <c r="E31" s="18"/>
      <c r="F31" s="18"/>
      <c r="G31" s="11"/>
      <c r="H31" s="18"/>
      <c r="I31" s="19">
        <f>AVERAGE(I3:I30)</f>
        <v>-0.15309209963105325</v>
      </c>
    </row>
    <row r="32" spans="1:9" ht="15" thickBot="1">
      <c r="A32" s="9"/>
      <c r="B32" s="12"/>
      <c r="C32" s="12"/>
      <c r="D32" s="12"/>
      <c r="E32" s="12"/>
      <c r="F32" s="12"/>
      <c r="G32" s="12"/>
      <c r="H32" s="12"/>
    </row>
    <row r="33" spans="1:9">
      <c r="A33" s="12"/>
      <c r="B33" s="12" t="s">
        <v>70</v>
      </c>
      <c r="C33" s="12"/>
      <c r="D33" s="12">
        <f>AVERAGE(D3,D7,D11,D15,D19,D23,D27)</f>
        <v>0.10535946226484391</v>
      </c>
      <c r="E33" s="12">
        <f>AVERAGE(E3,E7,E11,E15,E19,E23,E27)</f>
        <v>38.05570111955911</v>
      </c>
      <c r="F33" s="12"/>
      <c r="G33" s="12">
        <f>AVERAGE(G3,G7,G11,G15,G19,G23,G27)</f>
        <v>0.10639674277954143</v>
      </c>
      <c r="H33" s="12">
        <f>AVERAGE(H3,H7,H11,H15,H19,H23,H27)</f>
        <v>38.318059104969265</v>
      </c>
      <c r="I33" s="7">
        <f>bdrate($D33:$D36,E33:E36,$G33:$G36,H33:H36)</f>
        <v>-0.14524818775439308</v>
      </c>
    </row>
    <row r="34" spans="1:9">
      <c r="A34" s="12"/>
      <c r="B34" s="12"/>
      <c r="C34" s="12"/>
      <c r="D34" s="12">
        <f t="shared" ref="D34:E36" si="0">AVERAGE(D4,D8,D12,D16,D20,D24,D28)</f>
        <v>6.6207194297471836E-2</v>
      </c>
      <c r="E34" s="12">
        <f t="shared" si="0"/>
        <v>37.225360870361278</v>
      </c>
      <c r="F34" s="12"/>
      <c r="G34" s="12">
        <f t="shared" ref="G34:H36" si="1">AVERAGE(G4,G8,G12,G16,G20,G24,G28)</f>
        <v>6.6153319835096994E-2</v>
      </c>
      <c r="H34" s="12">
        <f t="shared" si="1"/>
        <v>37.519627706876371</v>
      </c>
    </row>
    <row r="35" spans="1:9">
      <c r="A35" s="12"/>
      <c r="B35" s="12"/>
      <c r="C35" s="12"/>
      <c r="D35" s="12">
        <f t="shared" si="0"/>
        <v>4.3866705246913544E-2</v>
      </c>
      <c r="E35" s="12">
        <f t="shared" si="0"/>
        <v>36.341459546770317</v>
      </c>
      <c r="F35" s="12"/>
      <c r="G35" s="12">
        <f t="shared" si="1"/>
        <v>4.3534892077895314E-2</v>
      </c>
      <c r="H35" s="12">
        <f t="shared" si="1"/>
        <v>36.688571930315263</v>
      </c>
    </row>
    <row r="36" spans="1:9">
      <c r="A36" s="12"/>
      <c r="B36" s="12"/>
      <c r="C36" s="12"/>
      <c r="D36" s="12">
        <f t="shared" si="0"/>
        <v>2.6243983318636057E-2</v>
      </c>
      <c r="E36" s="12">
        <f t="shared" si="0"/>
        <v>34.962533133370471</v>
      </c>
      <c r="F36" s="12"/>
      <c r="G36" s="12">
        <f t="shared" si="1"/>
        <v>2.6336070756907675E-2</v>
      </c>
      <c r="H36" s="12">
        <f t="shared" si="1"/>
        <v>35.410212924584229</v>
      </c>
    </row>
    <row r="37" spans="1:9">
      <c r="A37" s="12"/>
      <c r="B37" s="12"/>
      <c r="C37" s="12"/>
      <c r="D37" s="12"/>
      <c r="E37" s="12"/>
      <c r="F37" s="12"/>
      <c r="G37" s="12"/>
      <c r="H37" s="12"/>
    </row>
    <row r="38" spans="1:9">
      <c r="A38" s="12"/>
      <c r="B38" s="12"/>
      <c r="C38" s="12"/>
      <c r="D38" s="12"/>
      <c r="E38" s="12"/>
      <c r="F38" s="12"/>
      <c r="G38" s="12"/>
      <c r="H38" s="12"/>
    </row>
    <row r="39" spans="1:9">
      <c r="A39" s="12"/>
    </row>
    <row r="40" spans="1:9">
      <c r="A40" s="12"/>
    </row>
    <row r="41" spans="1:9">
      <c r="A41" s="12"/>
    </row>
    <row r="42" spans="1:9">
      <c r="A42" s="12"/>
    </row>
  </sheetData>
  <mergeCells count="2">
    <mergeCell ref="D1:E1"/>
    <mergeCell ref="G1:H1"/>
  </mergeCells>
  <phoneticPr fontId="1" type="noConversion"/>
  <conditionalFormatting sqref="I31">
    <cfRule type="cellIs" dxfId="2539" priority="135" operator="greaterThan">
      <formula>0.03</formula>
    </cfRule>
    <cfRule type="cellIs" dxfId="2538" priority="136" stopIfTrue="1" operator="lessThan">
      <formula>-0.03</formula>
    </cfRule>
  </conditionalFormatting>
  <conditionalFormatting sqref="I31">
    <cfRule type="cellIs" dxfId="2537" priority="133" operator="greaterThan">
      <formula>0.03</formula>
    </cfRule>
    <cfRule type="cellIs" dxfId="2536" priority="134" stopIfTrue="1" operator="lessThan">
      <formula>-0.03</formula>
    </cfRule>
  </conditionalFormatting>
  <conditionalFormatting sqref="I31">
    <cfRule type="cellIs" dxfId="2535" priority="131" operator="greaterThan">
      <formula>0.03</formula>
    </cfRule>
    <cfRule type="cellIs" dxfId="2534" priority="132" stopIfTrue="1" operator="lessThan">
      <formula>-0.03</formula>
    </cfRule>
  </conditionalFormatting>
  <conditionalFormatting sqref="I31">
    <cfRule type="cellIs" dxfId="2533" priority="139" operator="greaterThan">
      <formula>0.03</formula>
    </cfRule>
    <cfRule type="cellIs" dxfId="2532" priority="140" stopIfTrue="1" operator="lessThan">
      <formula>-0.03</formula>
    </cfRule>
  </conditionalFormatting>
  <conditionalFormatting sqref="I31">
    <cfRule type="cellIs" dxfId="2531" priority="137" operator="greaterThan">
      <formula>0.03</formula>
    </cfRule>
    <cfRule type="cellIs" dxfId="2530" priority="138" stopIfTrue="1" operator="lessThan">
      <formula>-0.03</formula>
    </cfRule>
  </conditionalFormatting>
  <conditionalFormatting sqref="I12:I14 I16:I18">
    <cfRule type="cellIs" dxfId="2529" priority="119" operator="greaterThan">
      <formula>0.03</formula>
    </cfRule>
    <cfRule type="cellIs" dxfId="2528" priority="120" stopIfTrue="1" operator="lessThan">
      <formula>-0.03</formula>
    </cfRule>
  </conditionalFormatting>
  <conditionalFormatting sqref="I12:I14 I16:I18">
    <cfRule type="cellIs" dxfId="2527" priority="117" operator="greaterThan">
      <formula>0.03</formula>
    </cfRule>
    <cfRule type="cellIs" dxfId="2526" priority="118" stopIfTrue="1" operator="lessThan">
      <formula>-0.03</formula>
    </cfRule>
  </conditionalFormatting>
  <conditionalFormatting sqref="I28:I30">
    <cfRule type="cellIs" dxfId="2525" priority="89" operator="greaterThan">
      <formula>0.03</formula>
    </cfRule>
    <cfRule type="cellIs" dxfId="2524" priority="90" stopIfTrue="1" operator="lessThan">
      <formula>-0.03</formula>
    </cfRule>
  </conditionalFormatting>
  <conditionalFormatting sqref="I28:I30">
    <cfRule type="cellIs" dxfId="2523" priority="87" operator="greaterThan">
      <formula>0.03</formula>
    </cfRule>
    <cfRule type="cellIs" dxfId="2522" priority="88" stopIfTrue="1" operator="lessThan">
      <formula>-0.03</formula>
    </cfRule>
  </conditionalFormatting>
  <conditionalFormatting sqref="I28:I30">
    <cfRule type="cellIs" dxfId="2521" priority="85" operator="greaterThan">
      <formula>0.03</formula>
    </cfRule>
    <cfRule type="cellIs" dxfId="2520" priority="86" stopIfTrue="1" operator="lessThan">
      <formula>-0.03</formula>
    </cfRule>
  </conditionalFormatting>
  <conditionalFormatting sqref="I28:I30">
    <cfRule type="cellIs" dxfId="2519" priority="83" operator="greaterThan">
      <formula>0.03</formula>
    </cfRule>
    <cfRule type="cellIs" dxfId="2518" priority="84" stopIfTrue="1" operator="lessThan">
      <formula>-0.03</formula>
    </cfRule>
  </conditionalFormatting>
  <conditionalFormatting sqref="I28:I30">
    <cfRule type="cellIs" dxfId="2517" priority="81" operator="greaterThan">
      <formula>0.03</formula>
    </cfRule>
    <cfRule type="cellIs" dxfId="2516" priority="82" stopIfTrue="1" operator="lessThan">
      <formula>-0.03</formula>
    </cfRule>
  </conditionalFormatting>
  <conditionalFormatting sqref="I20:I22">
    <cfRule type="cellIs" dxfId="2515" priority="125" operator="greaterThan">
      <formula>0.03</formula>
    </cfRule>
    <cfRule type="cellIs" dxfId="2514" priority="126" stopIfTrue="1" operator="lessThan">
      <formula>-0.03</formula>
    </cfRule>
  </conditionalFormatting>
  <conditionalFormatting sqref="I19">
    <cfRule type="cellIs" dxfId="2513" priority="99" operator="greaterThan">
      <formula>0.03</formula>
    </cfRule>
    <cfRule type="cellIs" dxfId="2512" priority="100" stopIfTrue="1" operator="lessThan">
      <formula>-0.03</formula>
    </cfRule>
  </conditionalFormatting>
  <conditionalFormatting sqref="I19">
    <cfRule type="cellIs" dxfId="2511" priority="97" operator="greaterThan">
      <formula>0.03</formula>
    </cfRule>
    <cfRule type="cellIs" dxfId="2510" priority="98" stopIfTrue="1" operator="lessThan">
      <formula>-0.03</formula>
    </cfRule>
  </conditionalFormatting>
  <conditionalFormatting sqref="I19">
    <cfRule type="cellIs" dxfId="2509" priority="95" operator="greaterThan">
      <formula>0.03</formula>
    </cfRule>
    <cfRule type="cellIs" dxfId="2508" priority="96" stopIfTrue="1" operator="lessThan">
      <formula>-0.03</formula>
    </cfRule>
  </conditionalFormatting>
  <conditionalFormatting sqref="I19">
    <cfRule type="cellIs" dxfId="2507" priority="93" operator="greaterThan">
      <formula>0.03</formula>
    </cfRule>
    <cfRule type="cellIs" dxfId="2506" priority="94" stopIfTrue="1" operator="lessThan">
      <formula>-0.03</formula>
    </cfRule>
  </conditionalFormatting>
  <conditionalFormatting sqref="I19">
    <cfRule type="cellIs" dxfId="2505" priority="91" operator="greaterThan">
      <formula>0.03</formula>
    </cfRule>
    <cfRule type="cellIs" dxfId="2504" priority="92" stopIfTrue="1" operator="lessThan">
      <formula>-0.03</formula>
    </cfRule>
  </conditionalFormatting>
  <conditionalFormatting sqref="I20:I22">
    <cfRule type="cellIs" dxfId="2503" priority="129" operator="greaterThan">
      <formula>0.03</formula>
    </cfRule>
    <cfRule type="cellIs" dxfId="2502" priority="130" stopIfTrue="1" operator="lessThan">
      <formula>-0.03</formula>
    </cfRule>
  </conditionalFormatting>
  <conditionalFormatting sqref="I20:I22">
    <cfRule type="cellIs" dxfId="2501" priority="127" operator="greaterThan">
      <formula>0.03</formula>
    </cfRule>
    <cfRule type="cellIs" dxfId="2500" priority="128" stopIfTrue="1" operator="lessThan">
      <formula>-0.03</formula>
    </cfRule>
  </conditionalFormatting>
  <conditionalFormatting sqref="I12:I14 I16:I18">
    <cfRule type="cellIs" dxfId="2499" priority="115" operator="greaterThan">
      <formula>0.03</formula>
    </cfRule>
    <cfRule type="cellIs" dxfId="2498" priority="116" stopIfTrue="1" operator="lessThan">
      <formula>-0.03</formula>
    </cfRule>
  </conditionalFormatting>
  <conditionalFormatting sqref="I20:I22">
    <cfRule type="cellIs" dxfId="2497" priority="123" operator="greaterThan">
      <formula>0.03</formula>
    </cfRule>
    <cfRule type="cellIs" dxfId="2496" priority="124" stopIfTrue="1" operator="lessThan">
      <formula>-0.03</formula>
    </cfRule>
  </conditionalFormatting>
  <conditionalFormatting sqref="I20:I22">
    <cfRule type="cellIs" dxfId="2495" priority="121" operator="greaterThan">
      <formula>0.03</formula>
    </cfRule>
    <cfRule type="cellIs" dxfId="2494" priority="122" stopIfTrue="1" operator="lessThan">
      <formula>-0.03</formula>
    </cfRule>
  </conditionalFormatting>
  <conditionalFormatting sqref="I12:I14 I16:I18">
    <cfRule type="cellIs" dxfId="2493" priority="111" operator="greaterThan">
      <formula>0.03</formula>
    </cfRule>
    <cfRule type="cellIs" dxfId="2492" priority="112" stopIfTrue="1" operator="lessThan">
      <formula>-0.03</formula>
    </cfRule>
  </conditionalFormatting>
  <conditionalFormatting sqref="I12:I14 I16:I18">
    <cfRule type="cellIs" dxfId="2491" priority="113" operator="greaterThan">
      <formula>0.03</formula>
    </cfRule>
    <cfRule type="cellIs" dxfId="2490" priority="114" stopIfTrue="1" operator="lessThan">
      <formula>-0.03</formula>
    </cfRule>
  </conditionalFormatting>
  <conditionalFormatting sqref="I11">
    <cfRule type="cellIs" dxfId="2489" priority="109" operator="greaterThan">
      <formula>0.03</formula>
    </cfRule>
    <cfRule type="cellIs" dxfId="2488" priority="110" stopIfTrue="1" operator="lessThan">
      <formula>-0.03</formula>
    </cfRule>
  </conditionalFormatting>
  <conditionalFormatting sqref="I11">
    <cfRule type="cellIs" dxfId="2487" priority="107" operator="greaterThan">
      <formula>0.03</formula>
    </cfRule>
    <cfRule type="cellIs" dxfId="2486" priority="108" stopIfTrue="1" operator="lessThan">
      <formula>-0.03</formula>
    </cfRule>
  </conditionalFormatting>
  <conditionalFormatting sqref="I11">
    <cfRule type="cellIs" dxfId="2485" priority="105" operator="greaterThan">
      <formula>0.03</formula>
    </cfRule>
    <cfRule type="cellIs" dxfId="2484" priority="106" stopIfTrue="1" operator="lessThan">
      <formula>-0.03</formula>
    </cfRule>
  </conditionalFormatting>
  <conditionalFormatting sqref="I11">
    <cfRule type="cellIs" dxfId="2483" priority="103" operator="greaterThan">
      <formula>0.03</formula>
    </cfRule>
    <cfRule type="cellIs" dxfId="2482" priority="104" stopIfTrue="1" operator="lessThan">
      <formula>-0.03</formula>
    </cfRule>
  </conditionalFormatting>
  <conditionalFormatting sqref="I11">
    <cfRule type="cellIs" dxfId="2481" priority="101" operator="greaterThan">
      <formula>0.03</formula>
    </cfRule>
    <cfRule type="cellIs" dxfId="2480" priority="102" stopIfTrue="1" operator="lessThan">
      <formula>-0.03</formula>
    </cfRule>
  </conditionalFormatting>
  <conditionalFormatting sqref="I24:I26">
    <cfRule type="cellIs" dxfId="2479" priority="79" operator="greaterThan">
      <formula>0.03</formula>
    </cfRule>
    <cfRule type="cellIs" dxfId="2478" priority="80" stopIfTrue="1" operator="lessThan">
      <formula>-0.03</formula>
    </cfRule>
  </conditionalFormatting>
  <conditionalFormatting sqref="I24:I26">
    <cfRule type="cellIs" dxfId="2477" priority="77" operator="greaterThan">
      <formula>0.03</formula>
    </cfRule>
    <cfRule type="cellIs" dxfId="2476" priority="78" stopIfTrue="1" operator="lessThan">
      <formula>-0.03</formula>
    </cfRule>
  </conditionalFormatting>
  <conditionalFormatting sqref="I27">
    <cfRule type="cellIs" dxfId="2475" priority="59" operator="greaterThan">
      <formula>0.03</formula>
    </cfRule>
    <cfRule type="cellIs" dxfId="2474" priority="60" stopIfTrue="1" operator="lessThan">
      <formula>-0.03</formula>
    </cfRule>
  </conditionalFormatting>
  <conditionalFormatting sqref="I27">
    <cfRule type="cellIs" dxfId="2473" priority="57" operator="greaterThan">
      <formula>0.03</formula>
    </cfRule>
    <cfRule type="cellIs" dxfId="2472" priority="58" stopIfTrue="1" operator="lessThan">
      <formula>-0.03</formula>
    </cfRule>
  </conditionalFormatting>
  <conditionalFormatting sqref="I27">
    <cfRule type="cellIs" dxfId="2471" priority="55" operator="greaterThan">
      <formula>0.03</formula>
    </cfRule>
    <cfRule type="cellIs" dxfId="2470" priority="56" stopIfTrue="1" operator="lessThan">
      <formula>-0.03</formula>
    </cfRule>
  </conditionalFormatting>
  <conditionalFormatting sqref="I27">
    <cfRule type="cellIs" dxfId="2469" priority="53" operator="greaterThan">
      <formula>0.03</formula>
    </cfRule>
    <cfRule type="cellIs" dxfId="2468" priority="54" stopIfTrue="1" operator="lessThan">
      <formula>-0.03</formula>
    </cfRule>
  </conditionalFormatting>
  <conditionalFormatting sqref="I27">
    <cfRule type="cellIs" dxfId="2467" priority="51" operator="greaterThan">
      <formula>0.03</formula>
    </cfRule>
    <cfRule type="cellIs" dxfId="2466" priority="52" stopIfTrue="1" operator="lessThan">
      <formula>-0.03</formula>
    </cfRule>
  </conditionalFormatting>
  <conditionalFormatting sqref="I24:I26">
    <cfRule type="cellIs" dxfId="2465" priority="75" operator="greaterThan">
      <formula>0.03</formula>
    </cfRule>
    <cfRule type="cellIs" dxfId="2464" priority="76" stopIfTrue="1" operator="lessThan">
      <formula>-0.03</formula>
    </cfRule>
  </conditionalFormatting>
  <conditionalFormatting sqref="I24:I26">
    <cfRule type="cellIs" dxfId="2463" priority="71" operator="greaterThan">
      <formula>0.03</formula>
    </cfRule>
    <cfRule type="cellIs" dxfId="2462" priority="72" stopIfTrue="1" operator="lessThan">
      <formula>-0.03</formula>
    </cfRule>
  </conditionalFormatting>
  <conditionalFormatting sqref="I24:I26">
    <cfRule type="cellIs" dxfId="2461" priority="73" operator="greaterThan">
      <formula>0.03</formula>
    </cfRule>
    <cfRule type="cellIs" dxfId="2460" priority="74" stopIfTrue="1" operator="lessThan">
      <formula>-0.03</formula>
    </cfRule>
  </conditionalFormatting>
  <conditionalFormatting sqref="I23">
    <cfRule type="cellIs" dxfId="2459" priority="69" operator="greaterThan">
      <formula>0.03</formula>
    </cfRule>
    <cfRule type="cellIs" dxfId="2458" priority="70" stopIfTrue="1" operator="lessThan">
      <formula>-0.03</formula>
    </cfRule>
  </conditionalFormatting>
  <conditionalFormatting sqref="I23">
    <cfRule type="cellIs" dxfId="2457" priority="67" operator="greaterThan">
      <formula>0.03</formula>
    </cfRule>
    <cfRule type="cellIs" dxfId="2456" priority="68" stopIfTrue="1" operator="lessThan">
      <formula>-0.03</formula>
    </cfRule>
  </conditionalFormatting>
  <conditionalFormatting sqref="I23">
    <cfRule type="cellIs" dxfId="2455" priority="65" operator="greaterThan">
      <formula>0.03</formula>
    </cfRule>
    <cfRule type="cellIs" dxfId="2454" priority="66" stopIfTrue="1" operator="lessThan">
      <formula>-0.03</formula>
    </cfRule>
  </conditionalFormatting>
  <conditionalFormatting sqref="I23">
    <cfRule type="cellIs" dxfId="2453" priority="63" operator="greaterThan">
      <formula>0.03</formula>
    </cfRule>
    <cfRule type="cellIs" dxfId="2452" priority="64" stopIfTrue="1" operator="lessThan">
      <formula>-0.03</formula>
    </cfRule>
  </conditionalFormatting>
  <conditionalFormatting sqref="I23">
    <cfRule type="cellIs" dxfId="2451" priority="61" operator="greaterThan">
      <formula>0.03</formula>
    </cfRule>
    <cfRule type="cellIs" dxfId="2450" priority="62" stopIfTrue="1" operator="lessThan">
      <formula>-0.03</formula>
    </cfRule>
  </conditionalFormatting>
  <conditionalFormatting sqref="I4:I6 I8:I10">
    <cfRule type="cellIs" dxfId="2449" priority="49" operator="greaterThan">
      <formula>0.03</formula>
    </cfRule>
    <cfRule type="cellIs" dxfId="2448" priority="50" stopIfTrue="1" operator="lessThan">
      <formula>-0.03</formula>
    </cfRule>
  </conditionalFormatting>
  <conditionalFormatting sqref="I4:I6 I8:I10">
    <cfRule type="cellIs" dxfId="2447" priority="47" operator="greaterThan">
      <formula>0.03</formula>
    </cfRule>
    <cfRule type="cellIs" dxfId="2446" priority="48" stopIfTrue="1" operator="lessThan">
      <formula>-0.03</formula>
    </cfRule>
  </conditionalFormatting>
  <conditionalFormatting sqref="I4:I6 I8:I10">
    <cfRule type="cellIs" dxfId="2445" priority="45" operator="greaterThan">
      <formula>0.03</formula>
    </cfRule>
    <cfRule type="cellIs" dxfId="2444" priority="46" stopIfTrue="1" operator="lessThan">
      <formula>-0.03</formula>
    </cfRule>
  </conditionalFormatting>
  <conditionalFormatting sqref="I4:I6 I8:I10">
    <cfRule type="cellIs" dxfId="2443" priority="41" operator="greaterThan">
      <formula>0.03</formula>
    </cfRule>
    <cfRule type="cellIs" dxfId="2442" priority="42" stopIfTrue="1" operator="lessThan">
      <formula>-0.03</formula>
    </cfRule>
  </conditionalFormatting>
  <conditionalFormatting sqref="I4:I6 I8:I10">
    <cfRule type="cellIs" dxfId="2441" priority="43" operator="greaterThan">
      <formula>0.03</formula>
    </cfRule>
    <cfRule type="cellIs" dxfId="2440" priority="44" stopIfTrue="1" operator="lessThan">
      <formula>-0.03</formula>
    </cfRule>
  </conditionalFormatting>
  <conditionalFormatting sqref="I3">
    <cfRule type="cellIs" dxfId="2439" priority="39" operator="greaterThan">
      <formula>0.03</formula>
    </cfRule>
    <cfRule type="cellIs" dxfId="2438" priority="40" stopIfTrue="1" operator="lessThan">
      <formula>-0.03</formula>
    </cfRule>
  </conditionalFormatting>
  <conditionalFormatting sqref="I3">
    <cfRule type="cellIs" dxfId="2437" priority="37" operator="greaterThan">
      <formula>0.03</formula>
    </cfRule>
    <cfRule type="cellIs" dxfId="2436" priority="38" stopIfTrue="1" operator="lessThan">
      <formula>-0.03</formula>
    </cfRule>
  </conditionalFormatting>
  <conditionalFormatting sqref="I3">
    <cfRule type="cellIs" dxfId="2435" priority="35" operator="greaterThan">
      <formula>0.03</formula>
    </cfRule>
    <cfRule type="cellIs" dxfId="2434" priority="36" stopIfTrue="1" operator="lessThan">
      <formula>-0.03</formula>
    </cfRule>
  </conditionalFormatting>
  <conditionalFormatting sqref="I3">
    <cfRule type="cellIs" dxfId="2433" priority="33" operator="greaterThan">
      <formula>0.03</formula>
    </cfRule>
    <cfRule type="cellIs" dxfId="2432" priority="34" stopIfTrue="1" operator="lessThan">
      <formula>-0.03</formula>
    </cfRule>
  </conditionalFormatting>
  <conditionalFormatting sqref="I3">
    <cfRule type="cellIs" dxfId="2431" priority="31" operator="greaterThan">
      <formula>0.03</formula>
    </cfRule>
    <cfRule type="cellIs" dxfId="2430" priority="32" stopIfTrue="1" operator="lessThan">
      <formula>-0.03</formula>
    </cfRule>
  </conditionalFormatting>
  <conditionalFormatting sqref="I7">
    <cfRule type="cellIs" dxfId="2429" priority="29" operator="greaterThan">
      <formula>0.03</formula>
    </cfRule>
    <cfRule type="cellIs" dxfId="2428" priority="30" stopIfTrue="1" operator="lessThan">
      <formula>-0.03</formula>
    </cfRule>
  </conditionalFormatting>
  <conditionalFormatting sqref="I7">
    <cfRule type="cellIs" dxfId="2427" priority="27" operator="greaterThan">
      <formula>0.03</formula>
    </cfRule>
    <cfRule type="cellIs" dxfId="2426" priority="28" stopIfTrue="1" operator="lessThan">
      <formula>-0.03</formula>
    </cfRule>
  </conditionalFormatting>
  <conditionalFormatting sqref="I7">
    <cfRule type="cellIs" dxfId="2425" priority="25" operator="greaterThan">
      <formula>0.03</formula>
    </cfRule>
    <cfRule type="cellIs" dxfId="2424" priority="26" stopIfTrue="1" operator="lessThan">
      <formula>-0.03</formula>
    </cfRule>
  </conditionalFormatting>
  <conditionalFormatting sqref="I7">
    <cfRule type="cellIs" dxfId="2423" priority="23" operator="greaterThan">
      <formula>0.03</formula>
    </cfRule>
    <cfRule type="cellIs" dxfId="2422" priority="24" stopIfTrue="1" operator="lessThan">
      <formula>-0.03</formula>
    </cfRule>
  </conditionalFormatting>
  <conditionalFormatting sqref="I7">
    <cfRule type="cellIs" dxfId="2421" priority="21" operator="greaterThan">
      <formula>0.03</formula>
    </cfRule>
    <cfRule type="cellIs" dxfId="2420" priority="22" stopIfTrue="1" operator="lessThan">
      <formula>-0.03</formula>
    </cfRule>
  </conditionalFormatting>
  <conditionalFormatting sqref="I15">
    <cfRule type="cellIs" dxfId="2419" priority="19" operator="greaterThan">
      <formula>0.03</formula>
    </cfRule>
    <cfRule type="cellIs" dxfId="2418" priority="20" stopIfTrue="1" operator="lessThan">
      <formula>-0.03</formula>
    </cfRule>
  </conditionalFormatting>
  <conditionalFormatting sqref="I15">
    <cfRule type="cellIs" dxfId="2417" priority="17" operator="greaterThan">
      <formula>0.03</formula>
    </cfRule>
    <cfRule type="cellIs" dxfId="2416" priority="18" stopIfTrue="1" operator="lessThan">
      <formula>-0.03</formula>
    </cfRule>
  </conditionalFormatting>
  <conditionalFormatting sqref="I15">
    <cfRule type="cellIs" dxfId="2415" priority="15" operator="greaterThan">
      <formula>0.03</formula>
    </cfRule>
    <cfRule type="cellIs" dxfId="2414" priority="16" stopIfTrue="1" operator="lessThan">
      <formula>-0.03</formula>
    </cfRule>
  </conditionalFormatting>
  <conditionalFormatting sqref="I15">
    <cfRule type="cellIs" dxfId="2413" priority="13" operator="greaterThan">
      <formula>0.03</formula>
    </cfRule>
    <cfRule type="cellIs" dxfId="2412" priority="14" stopIfTrue="1" operator="lessThan">
      <formula>-0.03</formula>
    </cfRule>
  </conditionalFormatting>
  <conditionalFormatting sqref="I15">
    <cfRule type="cellIs" dxfId="2411" priority="11" operator="greaterThan">
      <formula>0.03</formula>
    </cfRule>
    <cfRule type="cellIs" dxfId="2410" priority="12" stopIfTrue="1" operator="lessThan">
      <formula>-0.03</formula>
    </cfRule>
  </conditionalFormatting>
  <conditionalFormatting sqref="I33">
    <cfRule type="cellIs" dxfId="2409" priority="9" operator="greaterThan">
      <formula>0.03</formula>
    </cfRule>
    <cfRule type="cellIs" dxfId="2408" priority="10" stopIfTrue="1" operator="lessThan">
      <formula>-0.03</formula>
    </cfRule>
  </conditionalFormatting>
  <conditionalFormatting sqref="I33">
    <cfRule type="cellIs" dxfId="2407" priority="7" operator="greaterThan">
      <formula>0.03</formula>
    </cfRule>
    <cfRule type="cellIs" dxfId="2406" priority="8" stopIfTrue="1" operator="lessThan">
      <formula>-0.03</formula>
    </cfRule>
  </conditionalFormatting>
  <conditionalFormatting sqref="I33">
    <cfRule type="cellIs" dxfId="2405" priority="5" operator="greaterThan">
      <formula>0.03</formula>
    </cfRule>
    <cfRule type="cellIs" dxfId="2404" priority="6" stopIfTrue="1" operator="lessThan">
      <formula>-0.03</formula>
    </cfRule>
  </conditionalFormatting>
  <conditionalFormatting sqref="I33">
    <cfRule type="cellIs" dxfId="2403" priority="3" operator="greaterThan">
      <formula>0.03</formula>
    </cfRule>
    <cfRule type="cellIs" dxfId="2402" priority="4" stopIfTrue="1" operator="lessThan">
      <formula>-0.03</formula>
    </cfRule>
  </conditionalFormatting>
  <conditionalFormatting sqref="I33">
    <cfRule type="cellIs" dxfId="2401" priority="1" operator="greaterThan">
      <formula>0.03</formula>
    </cfRule>
    <cfRule type="cellIs" dxfId="2400" priority="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B9AAD-FE03-4072-8EB6-8287091918C8}">
  <dimension ref="A1:I128"/>
  <sheetViews>
    <sheetView topLeftCell="A3" zoomScale="85" zoomScaleNormal="85" workbookViewId="0">
      <selection activeCell="D3" sqref="D3:E122"/>
    </sheetView>
  </sheetViews>
  <sheetFormatPr defaultColWidth="8.875" defaultRowHeight="14.25"/>
  <cols>
    <col min="2" max="2" width="25.375" bestFit="1" customWidth="1"/>
    <col min="3" max="3" width="5.875" bestFit="1" customWidth="1"/>
    <col min="6" max="6" width="3.625" bestFit="1" customWidth="1"/>
  </cols>
  <sheetData>
    <row r="1" spans="1:9" ht="15" thickBot="1">
      <c r="A1" s="1"/>
      <c r="B1" s="1"/>
      <c r="C1" s="1"/>
      <c r="D1" s="28" t="s">
        <v>25</v>
      </c>
      <c r="E1" s="29"/>
      <c r="F1" s="1"/>
      <c r="G1" s="28" t="s">
        <v>26</v>
      </c>
      <c r="H1" s="29"/>
      <c r="I1" s="25"/>
    </row>
    <row r="2" spans="1:9" ht="15" thickBot="1">
      <c r="A2" s="2"/>
      <c r="B2" s="3"/>
      <c r="C2" s="22" t="s">
        <v>24</v>
      </c>
      <c r="D2" s="13" t="s">
        <v>0</v>
      </c>
      <c r="E2" s="5" t="s">
        <v>1</v>
      </c>
      <c r="F2" s="22" t="s">
        <v>24</v>
      </c>
      <c r="G2" s="13" t="s">
        <v>0</v>
      </c>
      <c r="H2" s="5" t="s">
        <v>1</v>
      </c>
      <c r="I2" s="13" t="s">
        <v>3</v>
      </c>
    </row>
    <row r="3" spans="1:9">
      <c r="A3" s="20" t="s">
        <v>4</v>
      </c>
      <c r="B3" s="30" t="s">
        <v>40</v>
      </c>
      <c r="C3" s="6">
        <v>27</v>
      </c>
      <c r="D3" s="24">
        <v>1.4555844907407399E-2</v>
      </c>
      <c r="E3" s="24">
        <v>38.838264465332003</v>
      </c>
      <c r="F3" s="6">
        <v>27</v>
      </c>
      <c r="G3" s="24">
        <v>1.4555844907407399E-2</v>
      </c>
      <c r="H3" s="24">
        <v>38.838264465332003</v>
      </c>
      <c r="I3" s="7">
        <f>bdrate($D3:$D6,E3:E6,$G3:$G6,H3:H6)</f>
        <v>0</v>
      </c>
    </row>
    <row r="4" spans="1:9">
      <c r="A4" s="14" t="s">
        <v>5</v>
      </c>
      <c r="B4" s="31"/>
      <c r="C4" s="8">
        <v>32</v>
      </c>
      <c r="D4" s="24">
        <v>9.5942644032921808E-3</v>
      </c>
      <c r="E4" s="24">
        <v>38.599372863769503</v>
      </c>
      <c r="F4" s="8">
        <v>32</v>
      </c>
      <c r="G4" s="24">
        <v>9.5942644032921808E-3</v>
      </c>
      <c r="H4" s="24">
        <v>38.599372863769503</v>
      </c>
      <c r="I4" s="9"/>
    </row>
    <row r="5" spans="1:9">
      <c r="A5" s="8"/>
      <c r="B5" s="31"/>
      <c r="C5" s="8">
        <v>38</v>
      </c>
      <c r="D5" s="24">
        <v>6.7980002572016404E-3</v>
      </c>
      <c r="E5" s="24">
        <v>38.334957122802699</v>
      </c>
      <c r="F5" s="8">
        <v>38</v>
      </c>
      <c r="G5" s="24">
        <v>6.7980002572016404E-3</v>
      </c>
      <c r="H5" s="24">
        <v>38.334957122802699</v>
      </c>
      <c r="I5" s="9"/>
    </row>
    <row r="6" spans="1:9" ht="15" thickBot="1">
      <c r="A6" s="8"/>
      <c r="B6" s="32"/>
      <c r="C6" s="10">
        <v>45</v>
      </c>
      <c r="D6" s="24">
        <v>5.0355259773662503E-3</v>
      </c>
      <c r="E6" s="24">
        <v>37.820079803466797</v>
      </c>
      <c r="F6" s="10">
        <v>45</v>
      </c>
      <c r="G6" s="24">
        <v>5.0355259773662503E-3</v>
      </c>
      <c r="H6" s="24">
        <v>37.820079803466797</v>
      </c>
      <c r="I6" s="2"/>
    </row>
    <row r="7" spans="1:9">
      <c r="A7" s="8"/>
      <c r="B7" s="30" t="s">
        <v>41</v>
      </c>
      <c r="C7" s="6">
        <v>27</v>
      </c>
      <c r="D7" s="24">
        <v>5.7805909207818897E-2</v>
      </c>
      <c r="E7" s="24">
        <v>42.795467376708899</v>
      </c>
      <c r="F7" s="6">
        <v>27</v>
      </c>
      <c r="G7" s="24">
        <v>5.7805909207818897E-2</v>
      </c>
      <c r="H7" s="24">
        <v>42.795467376708899</v>
      </c>
      <c r="I7" s="7">
        <f>bdrate($D7:$D10,E7:E10,$G7:$G10,H7:H10)</f>
        <v>0</v>
      </c>
    </row>
    <row r="8" spans="1:9">
      <c r="A8" s="8"/>
      <c r="B8" s="31"/>
      <c r="C8" s="8">
        <v>32</v>
      </c>
      <c r="D8" s="24">
        <v>4.3590213477366198E-2</v>
      </c>
      <c r="E8" s="24">
        <v>41.887130737304602</v>
      </c>
      <c r="F8" s="8">
        <v>32</v>
      </c>
      <c r="G8" s="24">
        <v>4.3590213477366198E-2</v>
      </c>
      <c r="H8" s="24">
        <v>41.887130737304602</v>
      </c>
      <c r="I8" s="9"/>
    </row>
    <row r="9" spans="1:9">
      <c r="A9" s="8"/>
      <c r="B9" s="31"/>
      <c r="C9" s="8">
        <v>38</v>
      </c>
      <c r="D9" s="24">
        <v>3.3559831532921802E-2</v>
      </c>
      <c r="E9" s="24">
        <v>40.864055633544901</v>
      </c>
      <c r="F9" s="8">
        <v>38</v>
      </c>
      <c r="G9" s="24">
        <v>3.3559831532921802E-2</v>
      </c>
      <c r="H9" s="24">
        <v>40.864055633544901</v>
      </c>
      <c r="I9" s="9"/>
    </row>
    <row r="10" spans="1:9" ht="15" thickBot="1">
      <c r="A10" s="8"/>
      <c r="B10" s="32"/>
      <c r="C10" s="10">
        <v>45</v>
      </c>
      <c r="D10" s="24">
        <v>2.4202192644032901E-2</v>
      </c>
      <c r="E10" s="24">
        <v>39.258758544921797</v>
      </c>
      <c r="F10" s="10">
        <v>45</v>
      </c>
      <c r="G10" s="24">
        <v>2.4202192644032901E-2</v>
      </c>
      <c r="H10" s="24">
        <v>39.258758544921797</v>
      </c>
      <c r="I10" s="9"/>
    </row>
    <row r="11" spans="1:9">
      <c r="A11" s="14"/>
      <c r="B11" s="30" t="s">
        <v>42</v>
      </c>
      <c r="C11" s="6">
        <v>27</v>
      </c>
      <c r="D11" s="24">
        <v>3.1047614454732499E-2</v>
      </c>
      <c r="E11" s="24">
        <v>39.641876220703097</v>
      </c>
      <c r="F11" s="6">
        <v>27</v>
      </c>
      <c r="G11" s="24">
        <v>3.1047614454732499E-2</v>
      </c>
      <c r="H11" s="24">
        <v>39.641876220703097</v>
      </c>
      <c r="I11" s="7">
        <f>bdrate($D11:$D14,E11:E14,$G11:$G14,H11:H14)</f>
        <v>0</v>
      </c>
    </row>
    <row r="12" spans="1:9">
      <c r="A12" s="14"/>
      <c r="B12" s="31"/>
      <c r="C12" s="8">
        <v>32</v>
      </c>
      <c r="D12" s="24">
        <v>2.24662422839506E-2</v>
      </c>
      <c r="E12" s="24">
        <v>38.940731048583899</v>
      </c>
      <c r="F12" s="8">
        <v>32</v>
      </c>
      <c r="G12" s="24">
        <v>2.24662422839506E-2</v>
      </c>
      <c r="H12" s="24">
        <v>38.940731048583899</v>
      </c>
      <c r="I12" s="9"/>
    </row>
    <row r="13" spans="1:9">
      <c r="A13" s="8"/>
      <c r="B13" s="31"/>
      <c r="C13" s="8">
        <v>38</v>
      </c>
      <c r="D13" s="24">
        <v>1.67246977880658E-2</v>
      </c>
      <c r="E13" s="24">
        <v>38.107261657714801</v>
      </c>
      <c r="F13" s="8">
        <v>38</v>
      </c>
      <c r="G13" s="24">
        <v>1.67246977880658E-2</v>
      </c>
      <c r="H13" s="24">
        <v>38.107261657714801</v>
      </c>
      <c r="I13" s="9"/>
    </row>
    <row r="14" spans="1:9" ht="15" thickBot="1">
      <c r="A14" s="8"/>
      <c r="B14" s="32"/>
      <c r="C14" s="10">
        <v>45</v>
      </c>
      <c r="D14" s="24">
        <v>1.17605452674897E-2</v>
      </c>
      <c r="E14" s="24">
        <v>36.515743255615199</v>
      </c>
      <c r="F14" s="10">
        <v>45</v>
      </c>
      <c r="G14" s="24">
        <v>1.17605452674897E-2</v>
      </c>
      <c r="H14" s="24">
        <v>36.515743255615199</v>
      </c>
      <c r="I14" s="2"/>
    </row>
    <row r="15" spans="1:9">
      <c r="A15" s="8"/>
      <c r="B15" s="30" t="s">
        <v>43</v>
      </c>
      <c r="C15" s="6">
        <v>27</v>
      </c>
      <c r="D15" s="24">
        <v>0.52698495370370302</v>
      </c>
      <c r="E15" s="24">
        <v>37.105239868163999</v>
      </c>
      <c r="F15" s="6">
        <v>27</v>
      </c>
      <c r="G15" s="24">
        <v>0.52698495370370302</v>
      </c>
      <c r="H15" s="24">
        <v>37.105239868163999</v>
      </c>
      <c r="I15" s="7">
        <f>bdrate($D15:$D18,E15:E18,$G15:$G18,H15:H18)</f>
        <v>0</v>
      </c>
    </row>
    <row r="16" spans="1:9">
      <c r="A16" s="8"/>
      <c r="B16" s="31"/>
      <c r="C16" s="8">
        <v>32</v>
      </c>
      <c r="D16" s="24">
        <v>0.41040107381687202</v>
      </c>
      <c r="E16" s="24">
        <v>36.0140380859375</v>
      </c>
      <c r="F16" s="8">
        <v>32</v>
      </c>
      <c r="G16" s="24">
        <v>0.41040107381687202</v>
      </c>
      <c r="H16" s="24">
        <v>36.0140380859375</v>
      </c>
      <c r="I16" s="9"/>
    </row>
    <row r="17" spans="1:9">
      <c r="A17" s="8"/>
      <c r="B17" s="31"/>
      <c r="C17" s="8">
        <v>38</v>
      </c>
      <c r="D17" s="24">
        <v>0.30743023405349701</v>
      </c>
      <c r="E17" s="24">
        <v>34.716564178466797</v>
      </c>
      <c r="F17" s="8">
        <v>38</v>
      </c>
      <c r="G17" s="24">
        <v>0.30743023405349701</v>
      </c>
      <c r="H17" s="24">
        <v>34.716564178466797</v>
      </c>
      <c r="I17" s="9"/>
    </row>
    <row r="18" spans="1:9" ht="15" thickBot="1">
      <c r="A18" s="8"/>
      <c r="B18" s="32"/>
      <c r="C18" s="10">
        <v>45</v>
      </c>
      <c r="D18" s="24">
        <v>0.199766750257201</v>
      </c>
      <c r="E18" s="24">
        <v>32.890213012695298</v>
      </c>
      <c r="F18" s="10">
        <v>45</v>
      </c>
      <c r="G18" s="24">
        <v>0.199766750257201</v>
      </c>
      <c r="H18" s="24">
        <v>32.890213012695298</v>
      </c>
      <c r="I18" s="9"/>
    </row>
    <row r="19" spans="1:9">
      <c r="A19" s="8"/>
      <c r="B19" s="30" t="s">
        <v>44</v>
      </c>
      <c r="C19" s="6">
        <v>27</v>
      </c>
      <c r="D19" s="24">
        <v>0.17752250514403201</v>
      </c>
      <c r="E19" s="24">
        <v>35.818561553955</v>
      </c>
      <c r="F19" s="6">
        <v>27</v>
      </c>
      <c r="G19" s="24">
        <v>0.17752250514403201</v>
      </c>
      <c r="H19" s="24">
        <v>35.818561553955</v>
      </c>
      <c r="I19" s="7">
        <f>bdrate($D19:$D22,E19:E22,$G19:$G22,H19:H22)</f>
        <v>0</v>
      </c>
    </row>
    <row r="20" spans="1:9">
      <c r="A20" s="8"/>
      <c r="B20" s="31"/>
      <c r="C20" s="8">
        <v>32</v>
      </c>
      <c r="D20" s="24">
        <v>0.123953832304526</v>
      </c>
      <c r="E20" s="24">
        <v>35.2699584960937</v>
      </c>
      <c r="F20" s="8">
        <v>32</v>
      </c>
      <c r="G20" s="24">
        <v>0.123953832304526</v>
      </c>
      <c r="H20" s="24">
        <v>35.2699584960937</v>
      </c>
      <c r="I20" s="9"/>
    </row>
    <row r="21" spans="1:9">
      <c r="A21" s="8"/>
      <c r="B21" s="31"/>
      <c r="C21" s="8">
        <v>38</v>
      </c>
      <c r="D21" s="24">
        <v>8.8026941872427905E-2</v>
      </c>
      <c r="E21" s="24">
        <v>34.617118835449197</v>
      </c>
      <c r="F21" s="8">
        <v>38</v>
      </c>
      <c r="G21" s="24">
        <v>8.8026941872427905E-2</v>
      </c>
      <c r="H21" s="24">
        <v>34.617118835449197</v>
      </c>
      <c r="I21" s="9"/>
    </row>
    <row r="22" spans="1:9" ht="15" thickBot="1">
      <c r="A22" s="8"/>
      <c r="B22" s="32"/>
      <c r="C22" s="10">
        <v>45</v>
      </c>
      <c r="D22" s="24">
        <v>5.6493698559670701E-2</v>
      </c>
      <c r="E22" s="24">
        <v>33.535865783691399</v>
      </c>
      <c r="F22" s="10">
        <v>45</v>
      </c>
      <c r="G22" s="24">
        <v>5.6493698559670701E-2</v>
      </c>
      <c r="H22" s="24">
        <v>33.535865783691399</v>
      </c>
      <c r="I22" s="2"/>
    </row>
    <row r="23" spans="1:9">
      <c r="A23" s="20" t="s">
        <v>6</v>
      </c>
      <c r="B23" s="30" t="s">
        <v>45</v>
      </c>
      <c r="C23" s="6">
        <v>27</v>
      </c>
      <c r="D23" s="24">
        <v>8.0077642746913494E-2</v>
      </c>
      <c r="E23" s="24">
        <v>30.878105163574201</v>
      </c>
      <c r="F23" s="6">
        <v>27</v>
      </c>
      <c r="G23" s="24">
        <v>8.0077642746913494E-2</v>
      </c>
      <c r="H23" s="24">
        <v>30.878105163574201</v>
      </c>
      <c r="I23" s="7">
        <f>bdrate($D23:$D26,E23:E26,$G23:$G26,H23:H26)</f>
        <v>0</v>
      </c>
    </row>
    <row r="24" spans="1:9">
      <c r="A24" s="14" t="s">
        <v>7</v>
      </c>
      <c r="B24" s="31"/>
      <c r="C24" s="8">
        <v>32</v>
      </c>
      <c r="D24" s="24">
        <v>4.77723122427983E-2</v>
      </c>
      <c r="E24" s="24">
        <v>30.776983261108398</v>
      </c>
      <c r="F24" s="8">
        <v>32</v>
      </c>
      <c r="G24" s="24">
        <v>4.77723122427983E-2</v>
      </c>
      <c r="H24" s="24">
        <v>30.776983261108398</v>
      </c>
      <c r="I24" s="9"/>
    </row>
    <row r="25" spans="1:9">
      <c r="A25" s="8"/>
      <c r="B25" s="31"/>
      <c r="C25" s="8">
        <v>38</v>
      </c>
      <c r="D25" s="24">
        <v>3.3502764917695403E-2</v>
      </c>
      <c r="E25" s="24">
        <v>30.685207366943299</v>
      </c>
      <c r="F25" s="8">
        <v>38</v>
      </c>
      <c r="G25" s="24">
        <v>3.3502764917695403E-2</v>
      </c>
      <c r="H25" s="24">
        <v>30.685207366943299</v>
      </c>
      <c r="I25" s="9"/>
    </row>
    <row r="26" spans="1:9" ht="15" thickBot="1">
      <c r="A26" s="8"/>
      <c r="B26" s="32"/>
      <c r="C26" s="10">
        <v>45</v>
      </c>
      <c r="D26" s="24">
        <v>1.8115033436213901E-2</v>
      </c>
      <c r="E26" s="24">
        <v>30.5111579895019</v>
      </c>
      <c r="F26" s="10">
        <v>45</v>
      </c>
      <c r="G26" s="24">
        <v>1.8115033436213901E-2</v>
      </c>
      <c r="H26" s="24">
        <v>30.5111579895019</v>
      </c>
      <c r="I26" s="2"/>
    </row>
    <row r="27" spans="1:9">
      <c r="A27" s="8"/>
      <c r="B27" s="30" t="s">
        <v>46</v>
      </c>
      <c r="C27" s="6">
        <v>27</v>
      </c>
      <c r="D27" s="24">
        <v>0.15975806970164599</v>
      </c>
      <c r="E27" s="24">
        <v>34.802757263183501</v>
      </c>
      <c r="F27" s="6">
        <v>27</v>
      </c>
      <c r="G27" s="24">
        <v>0.15975806970164599</v>
      </c>
      <c r="H27" s="24">
        <v>34.802757263183501</v>
      </c>
      <c r="I27" s="7">
        <f>bdrate($D27:$D30,E27:E30,$G27:$G30,H27:H30)</f>
        <v>0</v>
      </c>
    </row>
    <row r="28" spans="1:9">
      <c r="A28" s="8"/>
      <c r="B28" s="31"/>
      <c r="C28" s="8">
        <v>32</v>
      </c>
      <c r="D28" s="24">
        <v>9.3479938271604904E-2</v>
      </c>
      <c r="E28" s="24">
        <v>34.2859497070312</v>
      </c>
      <c r="F28" s="8">
        <v>32</v>
      </c>
      <c r="G28" s="24">
        <v>9.3479938271604904E-2</v>
      </c>
      <c r="H28" s="24">
        <v>34.2859497070312</v>
      </c>
      <c r="I28" s="9"/>
    </row>
    <row r="29" spans="1:9">
      <c r="A29" s="8"/>
      <c r="B29" s="31"/>
      <c r="C29" s="8">
        <v>38</v>
      </c>
      <c r="D29" s="24">
        <v>5.8932934670781797E-2</v>
      </c>
      <c r="E29" s="24">
        <v>33.775238037109297</v>
      </c>
      <c r="F29" s="8">
        <v>38</v>
      </c>
      <c r="G29" s="24">
        <v>5.8932934670781797E-2</v>
      </c>
      <c r="H29" s="24">
        <v>33.775238037109297</v>
      </c>
      <c r="I29" s="9"/>
    </row>
    <row r="30" spans="1:9" ht="15" thickBot="1">
      <c r="A30" s="8"/>
      <c r="B30" s="32"/>
      <c r="C30" s="10">
        <v>45</v>
      </c>
      <c r="D30" s="24">
        <v>3.2999935699588402E-2</v>
      </c>
      <c r="E30" s="24">
        <v>33.0365600585937</v>
      </c>
      <c r="F30" s="10">
        <v>45</v>
      </c>
      <c r="G30" s="24">
        <v>3.2999935699588402E-2</v>
      </c>
      <c r="H30" s="24">
        <v>33.0365600585937</v>
      </c>
      <c r="I30" s="2"/>
    </row>
    <row r="31" spans="1:9">
      <c r="A31" s="14"/>
      <c r="B31" s="30" t="s">
        <v>47</v>
      </c>
      <c r="C31" s="6">
        <v>27</v>
      </c>
      <c r="D31" s="24">
        <v>4.03620113168724E-2</v>
      </c>
      <c r="E31" s="24">
        <v>36.704124450683501</v>
      </c>
      <c r="F31" s="6">
        <v>27</v>
      </c>
      <c r="G31" s="24">
        <v>4.03620113168724E-2</v>
      </c>
      <c r="H31" s="24">
        <v>36.704124450683501</v>
      </c>
      <c r="I31" s="7">
        <f>bdrate($D31:$D34,E31:E34,$G31:$G34,H31:H34)</f>
        <v>0</v>
      </c>
    </row>
    <row r="32" spans="1:9">
      <c r="A32" s="14"/>
      <c r="B32" s="31"/>
      <c r="C32" s="8">
        <v>32</v>
      </c>
      <c r="D32" s="24">
        <v>2.44827031893004E-2</v>
      </c>
      <c r="E32" s="24">
        <v>36.302364349365199</v>
      </c>
      <c r="F32" s="8">
        <v>32</v>
      </c>
      <c r="G32" s="24">
        <v>2.44827031893004E-2</v>
      </c>
      <c r="H32" s="24">
        <v>36.302364349365199</v>
      </c>
      <c r="I32" s="9"/>
    </row>
    <row r="33" spans="1:9">
      <c r="A33" s="8"/>
      <c r="B33" s="31"/>
      <c r="C33" s="8">
        <v>38</v>
      </c>
      <c r="D33" s="24">
        <v>1.6819540895061699E-2</v>
      </c>
      <c r="E33" s="24">
        <v>35.928104400634702</v>
      </c>
      <c r="F33" s="8">
        <v>38</v>
      </c>
      <c r="G33" s="24">
        <v>1.6819540895061699E-2</v>
      </c>
      <c r="H33" s="24">
        <v>35.928104400634702</v>
      </c>
      <c r="I33" s="9"/>
    </row>
    <row r="34" spans="1:9" ht="15" thickBot="1">
      <c r="A34" s="8"/>
      <c r="B34" s="32"/>
      <c r="C34" s="10">
        <v>45</v>
      </c>
      <c r="D34" s="24">
        <v>1.1445312500000001E-2</v>
      </c>
      <c r="E34" s="24">
        <v>35.261314392089801</v>
      </c>
      <c r="F34" s="10">
        <v>45</v>
      </c>
      <c r="G34" s="24">
        <v>1.1445312500000001E-2</v>
      </c>
      <c r="H34" s="24">
        <v>35.261314392089801</v>
      </c>
      <c r="I34" s="2"/>
    </row>
    <row r="35" spans="1:9">
      <c r="A35" s="8"/>
      <c r="B35" s="30" t="s">
        <v>48</v>
      </c>
      <c r="C35" s="6">
        <v>27</v>
      </c>
      <c r="D35" s="24">
        <v>0.30679253472222201</v>
      </c>
      <c r="E35" s="24">
        <v>34.508682250976499</v>
      </c>
      <c r="F35" s="6">
        <v>27</v>
      </c>
      <c r="G35" s="24">
        <v>0.30679253472222201</v>
      </c>
      <c r="H35" s="24">
        <v>34.508682250976499</v>
      </c>
      <c r="I35" s="7">
        <f>bdrate($D35:$D38,E35:E38,$G35:$G38,H35:H38)</f>
        <v>0</v>
      </c>
    </row>
    <row r="36" spans="1:9">
      <c r="A36" s="8"/>
      <c r="B36" s="31"/>
      <c r="C36" s="8">
        <v>32</v>
      </c>
      <c r="D36" s="24">
        <v>0.181917438271604</v>
      </c>
      <c r="E36" s="24">
        <v>33.335872650146399</v>
      </c>
      <c r="F36" s="8">
        <v>32</v>
      </c>
      <c r="G36" s="24">
        <v>0.181917438271604</v>
      </c>
      <c r="H36" s="24">
        <v>33.335872650146399</v>
      </c>
      <c r="I36" s="9"/>
    </row>
    <row r="37" spans="1:9">
      <c r="A37" s="8"/>
      <c r="B37" s="31"/>
      <c r="C37" s="8">
        <v>38</v>
      </c>
      <c r="D37" s="24">
        <v>0.114017650462962</v>
      </c>
      <c r="E37" s="24">
        <v>32.082839965820298</v>
      </c>
      <c r="F37" s="8">
        <v>38</v>
      </c>
      <c r="G37" s="24">
        <v>0.114017650462962</v>
      </c>
      <c r="H37" s="24">
        <v>32.082839965820298</v>
      </c>
      <c r="I37" s="9"/>
    </row>
    <row r="38" spans="1:9" ht="15" thickBot="1">
      <c r="A38" s="8"/>
      <c r="B38" s="32"/>
      <c r="C38" s="10">
        <v>45</v>
      </c>
      <c r="D38" s="24">
        <v>6.5111078960905303E-2</v>
      </c>
      <c r="E38" s="24">
        <v>30.254421234130799</v>
      </c>
      <c r="F38" s="10">
        <v>45</v>
      </c>
      <c r="G38" s="24">
        <v>6.5111078960905303E-2</v>
      </c>
      <c r="H38" s="24">
        <v>30.254421234130799</v>
      </c>
      <c r="I38" s="2"/>
    </row>
    <row r="39" spans="1:9">
      <c r="A39" s="20" t="s">
        <v>8</v>
      </c>
      <c r="B39" s="30" t="s">
        <v>49</v>
      </c>
      <c r="C39" s="6">
        <v>27</v>
      </c>
      <c r="D39" s="24">
        <v>0.282560924639917</v>
      </c>
      <c r="E39" s="24">
        <v>37.550518035888601</v>
      </c>
      <c r="F39" s="6">
        <v>27</v>
      </c>
      <c r="G39" s="24">
        <v>0.282560924639917</v>
      </c>
      <c r="H39" s="24">
        <v>37.550518035888601</v>
      </c>
      <c r="I39" s="7">
        <f>bdrate($D39:$D42,E39:E42,$G39:$G42,H39:H42)</f>
        <v>0</v>
      </c>
    </row>
    <row r="40" spans="1:9">
      <c r="A40" s="14" t="s">
        <v>9</v>
      </c>
      <c r="B40" s="31"/>
      <c r="C40" s="8">
        <v>32</v>
      </c>
      <c r="D40" s="24">
        <v>0.200318287037037</v>
      </c>
      <c r="E40" s="24">
        <v>36.391036987304602</v>
      </c>
      <c r="F40" s="8">
        <v>32</v>
      </c>
      <c r="G40" s="24">
        <v>0.200318287037037</v>
      </c>
      <c r="H40" s="24">
        <v>36.391036987304602</v>
      </c>
      <c r="I40" s="9"/>
    </row>
    <row r="41" spans="1:9">
      <c r="A41" s="8"/>
      <c r="B41" s="31"/>
      <c r="C41" s="8">
        <v>38</v>
      </c>
      <c r="D41" s="24">
        <v>0.14596273791152201</v>
      </c>
      <c r="E41" s="24">
        <v>35.2298583984375</v>
      </c>
      <c r="F41" s="8">
        <v>38</v>
      </c>
      <c r="G41" s="24">
        <v>0.14596273791152201</v>
      </c>
      <c r="H41" s="24">
        <v>35.2298583984375</v>
      </c>
      <c r="I41" s="9"/>
    </row>
    <row r="42" spans="1:9" ht="15" thickBot="1">
      <c r="A42" s="8"/>
      <c r="B42" s="32"/>
      <c r="C42" s="10">
        <v>45</v>
      </c>
      <c r="D42" s="24">
        <v>9.8880690586419698E-2</v>
      </c>
      <c r="E42" s="24">
        <v>33.592227935791001</v>
      </c>
      <c r="F42" s="10">
        <v>45</v>
      </c>
      <c r="G42" s="24">
        <v>9.8880690586419698E-2</v>
      </c>
      <c r="H42" s="24">
        <v>33.592227935791001</v>
      </c>
      <c r="I42" s="2"/>
    </row>
    <row r="43" spans="1:9">
      <c r="A43" s="8"/>
      <c r="B43" s="30" t="s">
        <v>50</v>
      </c>
      <c r="C43" s="6">
        <v>27</v>
      </c>
      <c r="D43" s="24">
        <v>9.6737879372427907E-2</v>
      </c>
      <c r="E43" s="24">
        <v>41.943450927734297</v>
      </c>
      <c r="F43" s="6">
        <v>27</v>
      </c>
      <c r="G43" s="24">
        <v>9.6737879372427907E-2</v>
      </c>
      <c r="H43" s="24">
        <v>41.943450927734297</v>
      </c>
      <c r="I43" s="7">
        <f>bdrate($D43:$D46,E43:E46,$G43:$G46,H43:H46)</f>
        <v>0</v>
      </c>
    </row>
    <row r="44" spans="1:9">
      <c r="A44" s="8"/>
      <c r="B44" s="31"/>
      <c r="C44" s="8">
        <v>32</v>
      </c>
      <c r="D44" s="24">
        <v>6.7613972479423801E-2</v>
      </c>
      <c r="E44" s="24">
        <v>40.696525573730398</v>
      </c>
      <c r="F44" s="8">
        <v>32</v>
      </c>
      <c r="G44" s="24">
        <v>6.7613972479423801E-2</v>
      </c>
      <c r="H44" s="24">
        <v>40.696525573730398</v>
      </c>
      <c r="I44" s="9"/>
    </row>
    <row r="45" spans="1:9">
      <c r="A45" s="8"/>
      <c r="B45" s="31"/>
      <c r="C45" s="8">
        <v>38</v>
      </c>
      <c r="D45" s="24">
        <v>4.8655156893004099E-2</v>
      </c>
      <c r="E45" s="24">
        <v>39.455451965332003</v>
      </c>
      <c r="F45" s="8">
        <v>38</v>
      </c>
      <c r="G45" s="24">
        <v>4.8655156893004099E-2</v>
      </c>
      <c r="H45" s="24">
        <v>39.455451965332003</v>
      </c>
      <c r="I45" s="9"/>
    </row>
    <row r="46" spans="1:9" ht="15" thickBot="1">
      <c r="A46" s="8"/>
      <c r="B46" s="32"/>
      <c r="C46" s="10">
        <v>45</v>
      </c>
      <c r="D46" s="24">
        <v>3.2444058641975297E-2</v>
      </c>
      <c r="E46" s="24">
        <v>37.730312347412102</v>
      </c>
      <c r="F46" s="10">
        <v>45</v>
      </c>
      <c r="G46" s="24">
        <v>3.2444058641975297E-2</v>
      </c>
      <c r="H46" s="24">
        <v>37.730312347412102</v>
      </c>
      <c r="I46" s="2"/>
    </row>
    <row r="47" spans="1:9">
      <c r="A47" s="14"/>
      <c r="B47" s="30" t="s">
        <v>51</v>
      </c>
      <c r="C47" s="6">
        <v>27</v>
      </c>
      <c r="D47" s="24">
        <v>8.2846418467078103E-2</v>
      </c>
      <c r="E47" s="24">
        <v>38.2146606445312</v>
      </c>
      <c r="F47" s="6">
        <v>27</v>
      </c>
      <c r="G47" s="24">
        <v>8.2846418467078103E-2</v>
      </c>
      <c r="H47" s="24">
        <v>38.2146606445312</v>
      </c>
      <c r="I47" s="7">
        <f>bdrate($D47:$D50,E47:E50,$G47:$G50,H47:H50)</f>
        <v>0</v>
      </c>
    </row>
    <row r="48" spans="1:9">
      <c r="A48" s="14"/>
      <c r="B48" s="31"/>
      <c r="C48" s="8">
        <v>32</v>
      </c>
      <c r="D48" s="24">
        <v>5.1961644804526697E-2</v>
      </c>
      <c r="E48" s="24">
        <v>36.994274139404297</v>
      </c>
      <c r="F48" s="8">
        <v>32</v>
      </c>
      <c r="G48" s="24">
        <v>5.1961644804526697E-2</v>
      </c>
      <c r="H48" s="24">
        <v>36.994274139404297</v>
      </c>
      <c r="I48" s="9"/>
    </row>
    <row r="49" spans="1:9">
      <c r="A49" s="8"/>
      <c r="B49" s="31"/>
      <c r="C49" s="8">
        <v>38</v>
      </c>
      <c r="D49" s="24">
        <v>3.4068447788065802E-2</v>
      </c>
      <c r="E49" s="24">
        <v>35.792610168457003</v>
      </c>
      <c r="F49" s="8">
        <v>38</v>
      </c>
      <c r="G49" s="24">
        <v>3.4068447788065802E-2</v>
      </c>
      <c r="H49" s="24">
        <v>35.792610168457003</v>
      </c>
      <c r="I49" s="9"/>
    </row>
    <row r="50" spans="1:9" ht="15" thickBot="1">
      <c r="A50" s="8"/>
      <c r="B50" s="32"/>
      <c r="C50" s="10">
        <v>45</v>
      </c>
      <c r="D50" s="24">
        <v>2.0437082047325101E-2</v>
      </c>
      <c r="E50" s="24">
        <v>34.049900054931598</v>
      </c>
      <c r="F50" s="10">
        <v>45</v>
      </c>
      <c r="G50" s="24">
        <v>2.0437082047325101E-2</v>
      </c>
      <c r="H50" s="24">
        <v>34.049900054931598</v>
      </c>
      <c r="I50" s="2"/>
    </row>
    <row r="51" spans="1:9">
      <c r="A51" s="8"/>
      <c r="B51" s="30" t="s">
        <v>52</v>
      </c>
      <c r="C51" s="6">
        <v>27</v>
      </c>
      <c r="D51" s="24">
        <v>0.206646572788065</v>
      </c>
      <c r="E51" s="24">
        <v>34.882850646972599</v>
      </c>
      <c r="F51" s="6">
        <v>27</v>
      </c>
      <c r="G51" s="24">
        <v>0.206646572788065</v>
      </c>
      <c r="H51" s="24">
        <v>34.882850646972599</v>
      </c>
      <c r="I51" s="7">
        <f>bdrate($D51:$D54,E51:E54,$G51:$G54,H51:H54)</f>
        <v>0</v>
      </c>
    </row>
    <row r="52" spans="1:9">
      <c r="A52" s="8"/>
      <c r="B52" s="31"/>
      <c r="C52" s="8">
        <v>32</v>
      </c>
      <c r="D52" s="24">
        <v>9.8846611368312701E-2</v>
      </c>
      <c r="E52" s="24">
        <v>33.350128173828097</v>
      </c>
      <c r="F52" s="8">
        <v>32</v>
      </c>
      <c r="G52" s="24">
        <v>9.8846611368312701E-2</v>
      </c>
      <c r="H52" s="24">
        <v>33.350128173828097</v>
      </c>
      <c r="I52" s="9"/>
    </row>
    <row r="53" spans="1:9">
      <c r="A53" s="8"/>
      <c r="B53" s="31"/>
      <c r="C53" s="8">
        <v>38</v>
      </c>
      <c r="D53" s="24">
        <v>4.8428980195473197E-2</v>
      </c>
      <c r="E53" s="24">
        <v>32.133392333984297</v>
      </c>
      <c r="F53" s="8">
        <v>38</v>
      </c>
      <c r="G53" s="24">
        <v>4.8428980195473197E-2</v>
      </c>
      <c r="H53" s="24">
        <v>32.133392333984297</v>
      </c>
      <c r="I53" s="9"/>
    </row>
    <row r="54" spans="1:9" ht="15" thickBot="1">
      <c r="A54" s="8"/>
      <c r="B54" s="32"/>
      <c r="C54" s="10">
        <v>45</v>
      </c>
      <c r="D54" s="24">
        <v>2.4110243055555501E-2</v>
      </c>
      <c r="E54" s="24">
        <v>30.831844329833899</v>
      </c>
      <c r="F54" s="10">
        <v>45</v>
      </c>
      <c r="G54" s="24">
        <v>2.4110243055555501E-2</v>
      </c>
      <c r="H54" s="24">
        <v>30.831844329833899</v>
      </c>
      <c r="I54" s="2"/>
    </row>
    <row r="55" spans="1:9">
      <c r="A55" s="20" t="s">
        <v>10</v>
      </c>
      <c r="B55" s="30" t="s">
        <v>53</v>
      </c>
      <c r="C55" s="6">
        <v>27</v>
      </c>
      <c r="D55" s="24">
        <v>0.105985243055555</v>
      </c>
      <c r="E55" s="24">
        <v>38.028709411621001</v>
      </c>
      <c r="F55" s="6">
        <v>27</v>
      </c>
      <c r="G55" s="24">
        <v>0.105985243055555</v>
      </c>
      <c r="H55" s="24">
        <v>38.028709411621001</v>
      </c>
      <c r="I55" s="7">
        <f>bdrate($D55:$D58,E55:E58,$G55:$G58,H55:H58)</f>
        <v>0</v>
      </c>
    </row>
    <row r="56" spans="1:9">
      <c r="A56" s="14" t="s">
        <v>11</v>
      </c>
      <c r="B56" s="31"/>
      <c r="C56" s="8">
        <v>32</v>
      </c>
      <c r="D56" s="24">
        <v>7.3003311471193405E-2</v>
      </c>
      <c r="E56" s="24">
        <v>37.160804748535099</v>
      </c>
      <c r="F56" s="8">
        <v>32</v>
      </c>
      <c r="G56" s="24">
        <v>7.3003311471193405E-2</v>
      </c>
      <c r="H56" s="24">
        <v>37.160804748535099</v>
      </c>
      <c r="I56" s="9"/>
    </row>
    <row r="57" spans="1:9">
      <c r="A57" s="8"/>
      <c r="B57" s="31"/>
      <c r="C57" s="8">
        <v>38</v>
      </c>
      <c r="D57" s="24">
        <v>5.2159529320987601E-2</v>
      </c>
      <c r="E57" s="24">
        <v>36.196834564208899</v>
      </c>
      <c r="F57" s="8">
        <v>38</v>
      </c>
      <c r="G57" s="24">
        <v>5.2159529320987601E-2</v>
      </c>
      <c r="H57" s="24">
        <v>36.196834564208899</v>
      </c>
      <c r="I57" s="9"/>
    </row>
    <row r="58" spans="1:9" ht="15" thickBot="1">
      <c r="A58" s="8"/>
      <c r="B58" s="32"/>
      <c r="C58" s="10">
        <v>45</v>
      </c>
      <c r="D58" s="24">
        <v>3.4141268004115197E-2</v>
      </c>
      <c r="E58" s="24">
        <v>34.663169860839801</v>
      </c>
      <c r="F58" s="10">
        <v>45</v>
      </c>
      <c r="G58" s="24">
        <v>3.4141268004115197E-2</v>
      </c>
      <c r="H58" s="24">
        <v>34.663169860839801</v>
      </c>
      <c r="I58" s="2"/>
    </row>
    <row r="59" spans="1:9">
      <c r="A59" s="8"/>
      <c r="B59" s="30" t="s">
        <v>54</v>
      </c>
      <c r="C59" s="6">
        <v>27</v>
      </c>
      <c r="D59" s="24">
        <v>0.135934284979423</v>
      </c>
      <c r="E59" s="24">
        <v>34.886940002441399</v>
      </c>
      <c r="F59" s="6">
        <v>27</v>
      </c>
      <c r="G59" s="24">
        <v>0.135934284979423</v>
      </c>
      <c r="H59" s="24">
        <v>34.886940002441399</v>
      </c>
      <c r="I59" s="7">
        <f>bdrate($D59:$D62,E59:E62,$G59:$G62,H59:H62)</f>
        <v>0</v>
      </c>
    </row>
    <row r="60" spans="1:9">
      <c r="A60" s="8"/>
      <c r="B60" s="31"/>
      <c r="C60" s="8">
        <v>32</v>
      </c>
      <c r="D60" s="24">
        <v>4.3973765432098702E-2</v>
      </c>
      <c r="E60" s="24">
        <v>33.519859313964801</v>
      </c>
      <c r="F60" s="8">
        <v>32</v>
      </c>
      <c r="G60" s="24">
        <v>4.3973765432098702E-2</v>
      </c>
      <c r="H60" s="24">
        <v>33.519859313964801</v>
      </c>
      <c r="I60" s="9"/>
    </row>
    <row r="61" spans="1:9">
      <c r="A61" s="8"/>
      <c r="B61" s="31"/>
      <c r="C61" s="8">
        <v>38</v>
      </c>
      <c r="D61" s="24">
        <v>2.9875257201646001E-2</v>
      </c>
      <c r="E61" s="24">
        <v>33.008113861083899</v>
      </c>
      <c r="F61" s="8">
        <v>38</v>
      </c>
      <c r="G61" s="24">
        <v>2.9875257201646001E-2</v>
      </c>
      <c r="H61" s="24">
        <v>33.008113861083899</v>
      </c>
      <c r="I61" s="9"/>
    </row>
    <row r="62" spans="1:9" ht="15" thickBot="1">
      <c r="A62" s="8"/>
      <c r="B62" s="32"/>
      <c r="C62" s="10">
        <v>45</v>
      </c>
      <c r="D62" s="24">
        <v>1.87321566358024E-2</v>
      </c>
      <c r="E62" s="24">
        <v>32.2557983398437</v>
      </c>
      <c r="F62" s="10">
        <v>45</v>
      </c>
      <c r="G62" s="24">
        <v>1.87321566358024E-2</v>
      </c>
      <c r="H62" s="24">
        <v>32.2557983398437</v>
      </c>
      <c r="I62" s="2"/>
    </row>
    <row r="63" spans="1:9">
      <c r="A63" s="8"/>
      <c r="B63" s="30" t="s">
        <v>55</v>
      </c>
      <c r="C63" s="6">
        <v>27</v>
      </c>
      <c r="D63" s="24">
        <v>2.5155446244855901E-2</v>
      </c>
      <c r="E63" s="24">
        <v>40.2514038085937</v>
      </c>
      <c r="F63" s="6">
        <v>27</v>
      </c>
      <c r="G63" s="24">
        <v>2.5155446244855901E-2</v>
      </c>
      <c r="H63" s="24">
        <v>40.2514038085937</v>
      </c>
      <c r="I63" s="7">
        <f>bdrate($D63:$D66,E63:E66,$G63:$G66,H63:H66)</f>
        <v>0</v>
      </c>
    </row>
    <row r="64" spans="1:9">
      <c r="A64" s="8"/>
      <c r="B64" s="31"/>
      <c r="C64" s="8">
        <v>32</v>
      </c>
      <c r="D64" s="24">
        <v>1.6693190586419701E-2</v>
      </c>
      <c r="E64" s="24">
        <v>39.735343933105398</v>
      </c>
      <c r="F64" s="8">
        <v>32</v>
      </c>
      <c r="G64" s="24">
        <v>1.6693190586419701E-2</v>
      </c>
      <c r="H64" s="24">
        <v>39.735343933105398</v>
      </c>
      <c r="I64" s="9"/>
    </row>
    <row r="65" spans="1:9">
      <c r="A65" s="8"/>
      <c r="B65" s="31"/>
      <c r="C65" s="8">
        <v>38</v>
      </c>
      <c r="D65" s="24">
        <v>1.17637602880658E-2</v>
      </c>
      <c r="E65" s="24">
        <v>39.163799285888601</v>
      </c>
      <c r="F65" s="8">
        <v>38</v>
      </c>
      <c r="G65" s="24">
        <v>1.17637602880658E-2</v>
      </c>
      <c r="H65" s="24">
        <v>39.163799285888601</v>
      </c>
      <c r="I65" s="9"/>
    </row>
    <row r="66" spans="1:9" ht="15" thickBot="1">
      <c r="A66" s="8"/>
      <c r="B66" s="32"/>
      <c r="C66" s="10">
        <v>45</v>
      </c>
      <c r="D66" s="24">
        <v>8.1780478395061702E-3</v>
      </c>
      <c r="E66" s="24">
        <v>38.267269134521399</v>
      </c>
      <c r="F66" s="10">
        <v>45</v>
      </c>
      <c r="G66" s="24">
        <v>8.1780478395061702E-3</v>
      </c>
      <c r="H66" s="24">
        <v>38.267269134521399</v>
      </c>
      <c r="I66" s="2"/>
    </row>
    <row r="67" spans="1:9">
      <c r="A67" s="12"/>
      <c r="B67" s="30" t="s">
        <v>56</v>
      </c>
      <c r="C67" s="6">
        <v>27</v>
      </c>
      <c r="D67" s="24">
        <v>0.12506671167695399</v>
      </c>
      <c r="E67" s="24">
        <v>38.245460510253899</v>
      </c>
      <c r="F67" s="6">
        <v>27</v>
      </c>
      <c r="G67" s="24">
        <v>0.12506671167695399</v>
      </c>
      <c r="H67" s="24">
        <v>38.245460510253899</v>
      </c>
      <c r="I67" s="7">
        <f>bdrate($D67:$D70,E67:E70,$G67:$G70,H67:H70)</f>
        <v>0</v>
      </c>
    </row>
    <row r="68" spans="1:9">
      <c r="A68" s="12"/>
      <c r="B68" s="31"/>
      <c r="C68" s="8">
        <v>32</v>
      </c>
      <c r="D68" s="24">
        <v>8.3861882716049302E-2</v>
      </c>
      <c r="E68" s="24">
        <v>37.430423736572202</v>
      </c>
      <c r="F68" s="8">
        <v>32</v>
      </c>
      <c r="G68" s="24">
        <v>8.3861882716049302E-2</v>
      </c>
      <c r="H68" s="24">
        <v>37.430423736572202</v>
      </c>
      <c r="I68" s="9"/>
    </row>
    <row r="69" spans="1:9">
      <c r="A69" s="12"/>
      <c r="B69" s="31"/>
      <c r="C69" s="8">
        <v>38</v>
      </c>
      <c r="D69" s="24">
        <v>5.7628440072016403E-2</v>
      </c>
      <c r="E69" s="24">
        <v>36.478309631347599</v>
      </c>
      <c r="F69" s="8">
        <v>38</v>
      </c>
      <c r="G69" s="24">
        <v>5.7628440072016403E-2</v>
      </c>
      <c r="H69" s="24">
        <v>36.478309631347599</v>
      </c>
      <c r="I69" s="9"/>
    </row>
    <row r="70" spans="1:9" ht="15" thickBot="1">
      <c r="A70" s="12"/>
      <c r="B70" s="32"/>
      <c r="C70" s="10">
        <v>45</v>
      </c>
      <c r="D70" s="24">
        <v>3.5671457047325099E-2</v>
      </c>
      <c r="E70" s="24">
        <v>34.978252410888601</v>
      </c>
      <c r="F70" s="10">
        <v>45</v>
      </c>
      <c r="G70" s="24">
        <v>3.5671457047325099E-2</v>
      </c>
      <c r="H70" s="24">
        <v>34.978252410888601</v>
      </c>
      <c r="I70" s="2"/>
    </row>
    <row r="71" spans="1:9">
      <c r="A71" s="12"/>
      <c r="B71" s="30" t="s">
        <v>57</v>
      </c>
      <c r="C71" s="6">
        <v>27</v>
      </c>
      <c r="D71" s="24">
        <v>9.8962995113168695E-2</v>
      </c>
      <c r="E71" s="24">
        <v>37.1484565734863</v>
      </c>
      <c r="F71" s="6">
        <v>27</v>
      </c>
      <c r="G71" s="24">
        <v>9.8962995113168695E-2</v>
      </c>
      <c r="H71" s="24">
        <v>37.1484565734863</v>
      </c>
      <c r="I71" s="7">
        <f>bdrate($D71:$D74,E71:E74,$G71:$G74,H71:H74)</f>
        <v>0</v>
      </c>
    </row>
    <row r="72" spans="1:9">
      <c r="A72" s="12"/>
      <c r="B72" s="31"/>
      <c r="C72" s="8">
        <v>32</v>
      </c>
      <c r="D72" s="24">
        <v>6.9021508487654301E-2</v>
      </c>
      <c r="E72" s="24">
        <v>36.100135803222599</v>
      </c>
      <c r="F72" s="8">
        <v>32</v>
      </c>
      <c r="G72" s="24">
        <v>6.9021508487654301E-2</v>
      </c>
      <c r="H72" s="24">
        <v>36.100135803222599</v>
      </c>
      <c r="I72" s="9"/>
    </row>
    <row r="73" spans="1:9">
      <c r="A73" s="12"/>
      <c r="B73" s="31"/>
      <c r="C73" s="8">
        <v>38</v>
      </c>
      <c r="D73" s="24">
        <v>4.9227912808641902E-2</v>
      </c>
      <c r="E73" s="24">
        <v>34.989128112792898</v>
      </c>
      <c r="F73" s="8">
        <v>38</v>
      </c>
      <c r="G73" s="24">
        <v>4.9227912808641902E-2</v>
      </c>
      <c r="H73" s="24">
        <v>34.989128112792898</v>
      </c>
      <c r="I73" s="9"/>
    </row>
    <row r="74" spans="1:9" ht="15" thickBot="1">
      <c r="B74" s="32"/>
      <c r="C74" s="10">
        <v>45</v>
      </c>
      <c r="D74" s="24">
        <v>3.2488104423868298E-2</v>
      </c>
      <c r="E74" s="24">
        <v>33.334487915038999</v>
      </c>
      <c r="F74" s="10">
        <v>45</v>
      </c>
      <c r="G74" s="24">
        <v>3.2488104423868298E-2</v>
      </c>
      <c r="H74" s="24">
        <v>33.334487915038999</v>
      </c>
      <c r="I74" s="2"/>
    </row>
    <row r="75" spans="1:9">
      <c r="B75" s="30" t="s">
        <v>58</v>
      </c>
      <c r="C75" s="6">
        <v>27</v>
      </c>
      <c r="D75" s="24">
        <v>0.124627861368312</v>
      </c>
      <c r="E75" s="24">
        <v>39.451332092285099</v>
      </c>
      <c r="F75" s="6">
        <v>27</v>
      </c>
      <c r="G75" s="24">
        <v>0.124627861368312</v>
      </c>
      <c r="H75" s="24">
        <v>39.451332092285099</v>
      </c>
      <c r="I75" s="7">
        <f>bdrate($D75:$D78,E75:E78,$G75:$G78,H75:H78)</f>
        <v>0</v>
      </c>
    </row>
    <row r="76" spans="1:9">
      <c r="B76" s="31"/>
      <c r="C76" s="8">
        <v>32</v>
      </c>
      <c r="D76" s="24">
        <v>8.9543627829218098E-2</v>
      </c>
      <c r="E76" s="24">
        <v>38.255058288574197</v>
      </c>
      <c r="F76" s="8">
        <v>32</v>
      </c>
      <c r="G76" s="24">
        <v>8.9543627829218098E-2</v>
      </c>
      <c r="H76" s="24">
        <v>38.255058288574197</v>
      </c>
      <c r="I76" s="9"/>
    </row>
    <row r="77" spans="1:9">
      <c r="B77" s="31"/>
      <c r="C77" s="8">
        <v>38</v>
      </c>
      <c r="D77" s="24">
        <v>6.5008198302469095E-2</v>
      </c>
      <c r="E77" s="24">
        <v>36.981357574462798</v>
      </c>
      <c r="F77" s="8">
        <v>38</v>
      </c>
      <c r="G77" s="24">
        <v>6.5008198302469095E-2</v>
      </c>
      <c r="H77" s="24">
        <v>36.981357574462798</v>
      </c>
      <c r="I77" s="9"/>
    </row>
    <row r="78" spans="1:9" ht="15" thickBot="1">
      <c r="B78" s="32"/>
      <c r="C78" s="10">
        <v>45</v>
      </c>
      <c r="D78" s="24">
        <v>4.3115676440329202E-2</v>
      </c>
      <c r="E78" s="24">
        <v>35.170646667480398</v>
      </c>
      <c r="F78" s="10">
        <v>45</v>
      </c>
      <c r="G78" s="24">
        <v>4.3115676440329202E-2</v>
      </c>
      <c r="H78" s="24">
        <v>35.170646667480398</v>
      </c>
      <c r="I78" s="2"/>
    </row>
    <row r="79" spans="1:9">
      <c r="B79" s="30" t="s">
        <v>59</v>
      </c>
      <c r="C79" s="6">
        <v>27</v>
      </c>
      <c r="D79" s="24">
        <v>0.16565715020576099</v>
      </c>
      <c r="E79" s="24">
        <v>39.842124938964801</v>
      </c>
      <c r="F79" s="6">
        <v>27</v>
      </c>
      <c r="G79" s="24">
        <v>0.16565715020576099</v>
      </c>
      <c r="H79" s="24">
        <v>39.842124938964801</v>
      </c>
      <c r="I79" s="7">
        <f>bdrate($D79:$D82,E79:E82,$G79:$G82,H79:H82)</f>
        <v>0</v>
      </c>
    </row>
    <row r="80" spans="1:9">
      <c r="B80" s="31"/>
      <c r="C80" s="8">
        <v>32</v>
      </c>
      <c r="D80" s="24">
        <v>0.12503793724279799</v>
      </c>
      <c r="E80" s="24">
        <v>38.816192626953097</v>
      </c>
      <c r="F80" s="8">
        <v>32</v>
      </c>
      <c r="G80" s="24">
        <v>0.12503793724279799</v>
      </c>
      <c r="H80" s="24">
        <v>38.816192626953097</v>
      </c>
      <c r="I80" s="9"/>
    </row>
    <row r="81" spans="2:9">
      <c r="B81" s="31"/>
      <c r="C81" s="8">
        <v>38</v>
      </c>
      <c r="D81" s="24">
        <v>9.3702096193415602E-2</v>
      </c>
      <c r="E81" s="24">
        <v>37.638572692871001</v>
      </c>
      <c r="F81" s="8">
        <v>38</v>
      </c>
      <c r="G81" s="24">
        <v>9.3702096193415602E-2</v>
      </c>
      <c r="H81" s="24">
        <v>37.638572692871001</v>
      </c>
      <c r="I81" s="9"/>
    </row>
    <row r="82" spans="2:9" ht="15" thickBot="1">
      <c r="B82" s="32"/>
      <c r="C82" s="10">
        <v>45</v>
      </c>
      <c r="D82" s="24">
        <v>6.3716563786008207E-2</v>
      </c>
      <c r="E82" s="24">
        <v>35.917510986328097</v>
      </c>
      <c r="F82" s="10">
        <v>45</v>
      </c>
      <c r="G82" s="24">
        <v>6.3716563786008207E-2</v>
      </c>
      <c r="H82" s="24">
        <v>35.917510986328097</v>
      </c>
      <c r="I82" s="2"/>
    </row>
    <row r="83" spans="2:9">
      <c r="B83" s="30" t="s">
        <v>60</v>
      </c>
      <c r="C83" s="6">
        <v>27</v>
      </c>
      <c r="D83" s="24">
        <v>5.7611400462962897E-2</v>
      </c>
      <c r="E83" s="24">
        <v>43.569515228271399</v>
      </c>
      <c r="F83" s="6">
        <v>27</v>
      </c>
      <c r="G83" s="24">
        <v>5.7611400462962897E-2</v>
      </c>
      <c r="H83" s="24">
        <v>43.569515228271399</v>
      </c>
      <c r="I83" s="7">
        <f>bdrate($D83:$D86,E83:E86,$G83:$G86,H83:H86)</f>
        <v>0</v>
      </c>
    </row>
    <row r="84" spans="2:9">
      <c r="B84" s="31"/>
      <c r="C84" s="8">
        <v>32</v>
      </c>
      <c r="D84" s="24">
        <v>4.2141042952674797E-2</v>
      </c>
      <c r="E84" s="24">
        <v>42.906608581542898</v>
      </c>
      <c r="F84" s="8">
        <v>32</v>
      </c>
      <c r="G84" s="24">
        <v>4.2141042952674797E-2</v>
      </c>
      <c r="H84" s="24">
        <v>42.906608581542898</v>
      </c>
      <c r="I84" s="9"/>
    </row>
    <row r="85" spans="2:9">
      <c r="B85" s="31"/>
      <c r="C85" s="8">
        <v>38</v>
      </c>
      <c r="D85" s="24">
        <v>3.0999871399176902E-2</v>
      </c>
      <c r="E85" s="24">
        <v>42.093547821044901</v>
      </c>
      <c r="F85" s="8">
        <v>38</v>
      </c>
      <c r="G85" s="24">
        <v>3.0999871399176902E-2</v>
      </c>
      <c r="H85" s="24">
        <v>42.093547821044901</v>
      </c>
      <c r="I85" s="9"/>
    </row>
    <row r="86" spans="2:9" ht="15" thickBot="1">
      <c r="B86" s="32"/>
      <c r="C86" s="10">
        <v>45</v>
      </c>
      <c r="D86" s="24">
        <v>2.1138438786008198E-2</v>
      </c>
      <c r="E86" s="24">
        <v>40.818977355957003</v>
      </c>
      <c r="F86" s="10">
        <v>45</v>
      </c>
      <c r="G86" s="24">
        <v>2.1138438786008198E-2</v>
      </c>
      <c r="H86" s="24">
        <v>40.818977355957003</v>
      </c>
      <c r="I86" s="2"/>
    </row>
    <row r="87" spans="2:9">
      <c r="B87" s="30" t="s">
        <v>61</v>
      </c>
      <c r="C87" s="6">
        <v>27</v>
      </c>
      <c r="D87" s="24">
        <v>0.22396283436213901</v>
      </c>
      <c r="E87" s="24">
        <v>40.347274780273402</v>
      </c>
      <c r="F87" s="6">
        <v>27</v>
      </c>
      <c r="G87" s="24">
        <v>0.22396283436213901</v>
      </c>
      <c r="H87" s="24">
        <v>40.347274780273402</v>
      </c>
      <c r="I87" s="7">
        <f>bdrate($D87:$D90,E87:E90,$G87:$G90,H87:H90)</f>
        <v>0</v>
      </c>
    </row>
    <row r="88" spans="2:9">
      <c r="B88" s="31"/>
      <c r="C88" s="8">
        <v>32</v>
      </c>
      <c r="D88" s="24">
        <v>0.16452723122427901</v>
      </c>
      <c r="E88" s="24">
        <v>39.278480529785099</v>
      </c>
      <c r="F88" s="8">
        <v>32</v>
      </c>
      <c r="G88" s="24">
        <v>0.16452723122427901</v>
      </c>
      <c r="H88" s="24">
        <v>39.278480529785099</v>
      </c>
      <c r="I88" s="9"/>
    </row>
    <row r="89" spans="2:9">
      <c r="B89" s="31"/>
      <c r="C89" s="8">
        <v>38</v>
      </c>
      <c r="D89" s="24">
        <v>0.12142328960905301</v>
      </c>
      <c r="E89" s="24">
        <v>38.060020446777301</v>
      </c>
      <c r="F89" s="8">
        <v>38</v>
      </c>
      <c r="G89" s="24">
        <v>0.12142328960905301</v>
      </c>
      <c r="H89" s="24">
        <v>38.060020446777301</v>
      </c>
      <c r="I89" s="9"/>
    </row>
    <row r="90" spans="2:9" ht="15" thickBot="1">
      <c r="B90" s="32"/>
      <c r="C90" s="10">
        <v>45</v>
      </c>
      <c r="D90" s="24">
        <v>8.1972575874485601E-2</v>
      </c>
      <c r="E90" s="24">
        <v>36.271278381347599</v>
      </c>
      <c r="F90" s="10">
        <v>45</v>
      </c>
      <c r="G90" s="24">
        <v>8.1972575874485601E-2</v>
      </c>
      <c r="H90" s="24">
        <v>36.271278381347599</v>
      </c>
      <c r="I90" s="2"/>
    </row>
    <row r="91" spans="2:9">
      <c r="B91" s="30" t="s">
        <v>62</v>
      </c>
      <c r="C91" s="6">
        <v>27</v>
      </c>
      <c r="D91" s="24">
        <v>7.4611786265431995E-2</v>
      </c>
      <c r="E91" s="24">
        <v>40.736335754394503</v>
      </c>
      <c r="F91" s="6">
        <v>27</v>
      </c>
      <c r="G91" s="24">
        <v>7.4611786265431995E-2</v>
      </c>
      <c r="H91" s="24">
        <v>40.736335754394503</v>
      </c>
      <c r="I91" s="7">
        <f>bdrate($D91:$D94,E91:E94,$G91:$G94,H91:H94)</f>
        <v>0</v>
      </c>
    </row>
    <row r="92" spans="2:9">
      <c r="B92" s="31"/>
      <c r="C92" s="8">
        <v>32</v>
      </c>
      <c r="D92" s="24">
        <v>5.1422485853909398E-2</v>
      </c>
      <c r="E92" s="24">
        <v>39.7678833007812</v>
      </c>
      <c r="F92" s="8">
        <v>32</v>
      </c>
      <c r="G92" s="24">
        <v>5.1422485853909398E-2</v>
      </c>
      <c r="H92" s="24">
        <v>39.7678833007812</v>
      </c>
      <c r="I92" s="9"/>
    </row>
    <row r="93" spans="2:9">
      <c r="B93" s="31"/>
      <c r="C93" s="8">
        <v>38</v>
      </c>
      <c r="D93" s="24">
        <v>3.60664223251028E-2</v>
      </c>
      <c r="E93" s="24">
        <v>38.651775360107401</v>
      </c>
      <c r="F93" s="8">
        <v>38</v>
      </c>
      <c r="G93" s="24">
        <v>3.60664223251028E-2</v>
      </c>
      <c r="H93" s="24">
        <v>38.651775360107401</v>
      </c>
      <c r="I93" s="9"/>
    </row>
    <row r="94" spans="2:9" ht="15" thickBot="1">
      <c r="B94" s="32"/>
      <c r="C94" s="10">
        <v>45</v>
      </c>
      <c r="D94" s="24">
        <v>2.3099762088477301E-2</v>
      </c>
      <c r="E94" s="24">
        <v>36.881729125976499</v>
      </c>
      <c r="F94" s="10">
        <v>45</v>
      </c>
      <c r="G94" s="24">
        <v>2.3099762088477301E-2</v>
      </c>
      <c r="H94" s="24">
        <v>36.881729125976499</v>
      </c>
      <c r="I94" s="2"/>
    </row>
    <row r="95" spans="2:9">
      <c r="B95" s="30" t="s">
        <v>63</v>
      </c>
      <c r="C95" s="6">
        <v>27</v>
      </c>
      <c r="D95" s="24">
        <v>8.3591017232510195E-2</v>
      </c>
      <c r="E95" s="24">
        <v>39.855461120605398</v>
      </c>
      <c r="F95" s="6">
        <v>27</v>
      </c>
      <c r="G95" s="24">
        <v>8.3591017232510195E-2</v>
      </c>
      <c r="H95" s="24">
        <v>39.855461120605398</v>
      </c>
      <c r="I95" s="7">
        <f>bdrate($D95:$D98,E95:E98,$G95:$G98,H95:H98)</f>
        <v>0</v>
      </c>
    </row>
    <row r="96" spans="2:9">
      <c r="B96" s="31"/>
      <c r="C96" s="8">
        <v>32</v>
      </c>
      <c r="D96" s="24">
        <v>5.62882587448559E-2</v>
      </c>
      <c r="E96" s="24">
        <v>39.094749450683501</v>
      </c>
      <c r="F96" s="8">
        <v>32</v>
      </c>
      <c r="G96" s="24">
        <v>5.62882587448559E-2</v>
      </c>
      <c r="H96" s="24">
        <v>39.094749450683501</v>
      </c>
      <c r="I96" s="9"/>
    </row>
    <row r="97" spans="2:9">
      <c r="B97" s="31"/>
      <c r="C97" s="8">
        <v>38</v>
      </c>
      <c r="D97" s="24">
        <v>3.8945955504115198E-2</v>
      </c>
      <c r="E97" s="24">
        <v>38.219619750976499</v>
      </c>
      <c r="F97" s="8">
        <v>38</v>
      </c>
      <c r="G97" s="24">
        <v>3.8945955504115198E-2</v>
      </c>
      <c r="H97" s="24">
        <v>38.219619750976499</v>
      </c>
      <c r="I97" s="9"/>
    </row>
    <row r="98" spans="2:9" ht="15" thickBot="1">
      <c r="B98" s="32"/>
      <c r="C98" s="10">
        <v>45</v>
      </c>
      <c r="D98" s="24">
        <v>2.4877989969135799E-2</v>
      </c>
      <c r="E98" s="24">
        <v>36.834526062011697</v>
      </c>
      <c r="F98" s="10">
        <v>45</v>
      </c>
      <c r="G98" s="24">
        <v>2.4877989969135799E-2</v>
      </c>
      <c r="H98" s="24">
        <v>36.834526062011697</v>
      </c>
      <c r="I98" s="2"/>
    </row>
    <row r="99" spans="2:9">
      <c r="B99" s="30" t="s">
        <v>64</v>
      </c>
      <c r="C99" s="6">
        <v>27</v>
      </c>
      <c r="D99" s="24">
        <v>0.48038451646090502</v>
      </c>
      <c r="E99" s="24">
        <v>33.837043762207003</v>
      </c>
      <c r="F99" s="6">
        <v>27</v>
      </c>
      <c r="G99" s="24">
        <v>0.48038451646090502</v>
      </c>
      <c r="H99" s="24">
        <v>33.837043762207003</v>
      </c>
      <c r="I99" s="7">
        <f>bdrate($D99:$D102,E99:E102,$G99:$G102,H99:H102)</f>
        <v>0</v>
      </c>
    </row>
    <row r="100" spans="2:9">
      <c r="B100" s="31"/>
      <c r="C100" s="8">
        <v>32</v>
      </c>
      <c r="D100" s="24">
        <v>0.35799784593621398</v>
      </c>
      <c r="E100" s="24">
        <v>33.136146545410099</v>
      </c>
      <c r="F100" s="8">
        <v>32</v>
      </c>
      <c r="G100" s="24">
        <v>0.35799784593621398</v>
      </c>
      <c r="H100" s="24">
        <v>33.136146545410099</v>
      </c>
      <c r="I100" s="9"/>
    </row>
    <row r="101" spans="2:9">
      <c r="B101" s="31"/>
      <c r="C101" s="8">
        <v>38</v>
      </c>
      <c r="D101" s="24">
        <v>0.25841322659464999</v>
      </c>
      <c r="E101" s="24">
        <v>32.194644927978501</v>
      </c>
      <c r="F101" s="8">
        <v>38</v>
      </c>
      <c r="G101" s="24">
        <v>0.25841322659464999</v>
      </c>
      <c r="H101" s="24">
        <v>32.194644927978501</v>
      </c>
      <c r="I101" s="9"/>
    </row>
    <row r="102" spans="2:9" ht="15" thickBot="1">
      <c r="B102" s="32"/>
      <c r="C102" s="10">
        <v>45</v>
      </c>
      <c r="D102" s="24">
        <v>0.15983378343621399</v>
      </c>
      <c r="E102" s="24">
        <v>30.586408615112301</v>
      </c>
      <c r="F102" s="10">
        <v>45</v>
      </c>
      <c r="G102" s="24">
        <v>0.15983378343621399</v>
      </c>
      <c r="H102" s="24">
        <v>30.586408615112301</v>
      </c>
      <c r="I102" s="2"/>
    </row>
    <row r="103" spans="2:9">
      <c r="B103" s="30" t="s">
        <v>65</v>
      </c>
      <c r="C103" s="6">
        <v>27</v>
      </c>
      <c r="D103" s="24">
        <v>6.9207175925925901E-2</v>
      </c>
      <c r="E103" s="24">
        <v>40.854652404785099</v>
      </c>
      <c r="F103" s="6">
        <v>27</v>
      </c>
      <c r="G103" s="24">
        <v>6.9207175925925901E-2</v>
      </c>
      <c r="H103" s="24">
        <v>40.854652404785099</v>
      </c>
      <c r="I103" s="7">
        <f>bdrate($D103:$D106,E103:E106,$G103:$G106,H103:H106)</f>
        <v>0</v>
      </c>
    </row>
    <row r="104" spans="2:9">
      <c r="B104" s="31"/>
      <c r="C104" s="8">
        <v>32</v>
      </c>
      <c r="D104" s="24">
        <v>5.0949074074074001E-2</v>
      </c>
      <c r="E104" s="24">
        <v>40.158332824707003</v>
      </c>
      <c r="F104" s="8">
        <v>32</v>
      </c>
      <c r="G104" s="24">
        <v>5.0949074074074001E-2</v>
      </c>
      <c r="H104" s="24">
        <v>40.158332824707003</v>
      </c>
      <c r="I104" s="9"/>
    </row>
    <row r="105" spans="2:9">
      <c r="B105" s="31"/>
      <c r="C105" s="8">
        <v>38</v>
      </c>
      <c r="D105" s="24">
        <v>3.8028549382716E-2</v>
      </c>
      <c r="E105" s="24">
        <v>39.306640625</v>
      </c>
      <c r="F105" s="8">
        <v>38</v>
      </c>
      <c r="G105" s="24">
        <v>3.8028549382716E-2</v>
      </c>
      <c r="H105" s="24">
        <v>39.306640625</v>
      </c>
      <c r="I105" s="9"/>
    </row>
    <row r="106" spans="2:9" ht="15" thickBot="1">
      <c r="B106" s="32"/>
      <c r="C106" s="10">
        <v>45</v>
      </c>
      <c r="D106" s="24">
        <v>2.6430362654320898E-2</v>
      </c>
      <c r="E106" s="24">
        <v>37.912590026855398</v>
      </c>
      <c r="F106" s="10">
        <v>45</v>
      </c>
      <c r="G106" s="24">
        <v>2.6430362654320898E-2</v>
      </c>
      <c r="H106" s="24">
        <v>37.912590026855398</v>
      </c>
      <c r="I106" s="2"/>
    </row>
    <row r="107" spans="2:9">
      <c r="B107" s="30" t="s">
        <v>66</v>
      </c>
      <c r="C107" s="6">
        <v>27</v>
      </c>
      <c r="D107" s="24">
        <v>0.13865081661522599</v>
      </c>
      <c r="E107" s="24">
        <v>39.349666595458899</v>
      </c>
      <c r="F107" s="6">
        <v>27</v>
      </c>
      <c r="G107" s="24">
        <v>0.13865081661522599</v>
      </c>
      <c r="H107" s="24">
        <v>39.349666595458899</v>
      </c>
      <c r="I107" s="7">
        <f>bdrate($D107:$D110,E107:E110,$G107:$G110,H107:H110)</f>
        <v>0</v>
      </c>
    </row>
    <row r="108" spans="2:9">
      <c r="B108" s="31"/>
      <c r="C108" s="8">
        <v>32</v>
      </c>
      <c r="D108" s="24">
        <v>9.43968621399177E-2</v>
      </c>
      <c r="E108" s="24">
        <v>37.855991363525298</v>
      </c>
      <c r="F108" s="8">
        <v>32</v>
      </c>
      <c r="G108" s="24">
        <v>9.43968621399177E-2</v>
      </c>
      <c r="H108" s="24">
        <v>37.855991363525298</v>
      </c>
      <c r="I108" s="9"/>
    </row>
    <row r="109" spans="2:9">
      <c r="B109" s="31"/>
      <c r="C109" s="8">
        <v>38</v>
      </c>
      <c r="D109" s="24">
        <v>6.41665059156378E-2</v>
      </c>
      <c r="E109" s="24">
        <v>36.396522521972599</v>
      </c>
      <c r="F109" s="8">
        <v>38</v>
      </c>
      <c r="G109" s="24">
        <v>6.41665059156378E-2</v>
      </c>
      <c r="H109" s="24">
        <v>36.396522521972599</v>
      </c>
      <c r="I109" s="9"/>
    </row>
    <row r="110" spans="2:9" ht="15" thickBot="1">
      <c r="B110" s="32"/>
      <c r="C110" s="10">
        <v>45</v>
      </c>
      <c r="D110" s="24">
        <v>3.78036586934156E-2</v>
      </c>
      <c r="E110" s="24">
        <v>34.392807006835902</v>
      </c>
      <c r="F110" s="10">
        <v>45</v>
      </c>
      <c r="G110" s="24">
        <v>3.78036586934156E-2</v>
      </c>
      <c r="H110" s="24">
        <v>34.392807006835902</v>
      </c>
      <c r="I110" s="2"/>
    </row>
    <row r="111" spans="2:9">
      <c r="B111" s="30" t="s">
        <v>67</v>
      </c>
      <c r="C111" s="6">
        <v>27</v>
      </c>
      <c r="D111" s="24">
        <v>2.8568029835390901E-2</v>
      </c>
      <c r="E111" s="24">
        <v>40.854263305663999</v>
      </c>
      <c r="F111" s="6">
        <v>27</v>
      </c>
      <c r="G111" s="24">
        <v>2.8568029835390901E-2</v>
      </c>
      <c r="H111" s="24">
        <v>40.854263305663999</v>
      </c>
      <c r="I111" s="7">
        <f>bdrate($D111:$D114,E111:E114,$G111:$G114,H111:H114)</f>
        <v>0</v>
      </c>
    </row>
    <row r="112" spans="2:9">
      <c r="B112" s="31"/>
      <c r="C112" s="8">
        <v>32</v>
      </c>
      <c r="D112" s="24">
        <v>2.0124421296296199E-2</v>
      </c>
      <c r="E112" s="24">
        <v>40.099376678466797</v>
      </c>
      <c r="F112" s="8">
        <v>32</v>
      </c>
      <c r="G112" s="24">
        <v>2.0124421296296199E-2</v>
      </c>
      <c r="H112" s="24">
        <v>40.099376678466797</v>
      </c>
      <c r="I112" s="9"/>
    </row>
    <row r="113" spans="1:9">
      <c r="B113" s="31"/>
      <c r="C113" s="8">
        <v>38</v>
      </c>
      <c r="D113" s="24">
        <v>1.47571051954732E-2</v>
      </c>
      <c r="E113" s="24">
        <v>39.223278045654297</v>
      </c>
      <c r="F113" s="8">
        <v>38</v>
      </c>
      <c r="G113" s="24">
        <v>1.47571051954732E-2</v>
      </c>
      <c r="H113" s="24">
        <v>39.223278045654297</v>
      </c>
      <c r="I113" s="9"/>
    </row>
    <row r="114" spans="1:9" ht="15" thickBot="1">
      <c r="B114" s="32"/>
      <c r="C114" s="10">
        <v>45</v>
      </c>
      <c r="D114" s="24">
        <v>1.0399787808641901E-2</v>
      </c>
      <c r="E114" s="24">
        <v>37.878963470458899</v>
      </c>
      <c r="F114" s="10">
        <v>45</v>
      </c>
      <c r="G114" s="24">
        <v>1.0399787808641901E-2</v>
      </c>
      <c r="H114" s="24">
        <v>37.878963470458899</v>
      </c>
      <c r="I114" s="2"/>
    </row>
    <row r="115" spans="1:9">
      <c r="B115" s="30" t="s">
        <v>68</v>
      </c>
      <c r="C115" s="6">
        <v>27</v>
      </c>
      <c r="D115" s="24">
        <v>6.8116640946502003E-3</v>
      </c>
      <c r="E115" s="24">
        <v>44.039024353027301</v>
      </c>
      <c r="F115" s="6">
        <v>27</v>
      </c>
      <c r="G115" s="24">
        <v>6.8116640946502003E-3</v>
      </c>
      <c r="H115" s="24">
        <v>44.039024353027301</v>
      </c>
      <c r="I115" s="7">
        <f>bdrate($D115:$D118,E115:E118,$G115:$G118,H115:H118)</f>
        <v>0</v>
      </c>
    </row>
    <row r="116" spans="1:9">
      <c r="B116" s="31"/>
      <c r="C116" s="8">
        <v>32</v>
      </c>
      <c r="D116" s="24">
        <v>5.0835905349794199E-3</v>
      </c>
      <c r="E116" s="24">
        <v>43.620719909667898</v>
      </c>
      <c r="F116" s="8">
        <v>32</v>
      </c>
      <c r="G116" s="24">
        <v>5.0835905349794199E-3</v>
      </c>
      <c r="H116" s="24">
        <v>43.620719909667898</v>
      </c>
      <c r="I116" s="9"/>
    </row>
    <row r="117" spans="1:9">
      <c r="B117" s="31"/>
      <c r="C117" s="8">
        <v>38</v>
      </c>
      <c r="D117" s="24">
        <v>4.0985082304526698E-3</v>
      </c>
      <c r="E117" s="24">
        <v>43.123077392578097</v>
      </c>
      <c r="F117" s="8">
        <v>38</v>
      </c>
      <c r="G117" s="24">
        <v>4.0985082304526698E-3</v>
      </c>
      <c r="H117" s="24">
        <v>43.123077392578097</v>
      </c>
      <c r="I117" s="9"/>
    </row>
    <row r="118" spans="1:9" ht="15" thickBot="1">
      <c r="B118" s="32"/>
      <c r="C118" s="10">
        <v>45</v>
      </c>
      <c r="D118" s="24">
        <v>3.6003407921810699E-3</v>
      </c>
      <c r="E118" s="24">
        <v>42.237274169921797</v>
      </c>
      <c r="F118" s="10">
        <v>45</v>
      </c>
      <c r="G118" s="24">
        <v>3.6003407921810699E-3</v>
      </c>
      <c r="H118" s="24">
        <v>42.237274169921797</v>
      </c>
      <c r="I118" s="2"/>
    </row>
    <row r="119" spans="1:9">
      <c r="B119" s="30" t="s">
        <v>69</v>
      </c>
      <c r="C119" s="6">
        <v>27</v>
      </c>
      <c r="D119" s="24">
        <v>1.8240258487654301E-2</v>
      </c>
      <c r="E119" s="24">
        <v>38.139328002929602</v>
      </c>
      <c r="F119" s="6">
        <v>27</v>
      </c>
      <c r="G119" s="24">
        <v>1.8240258487654301E-2</v>
      </c>
      <c r="H119" s="24">
        <v>38.139328002929602</v>
      </c>
      <c r="I119" s="7">
        <f>bdrate($D119:$D122,E119:E122,$G119:$G122,H119:H122)</f>
        <v>0</v>
      </c>
    </row>
    <row r="120" spans="1:9">
      <c r="B120" s="31"/>
      <c r="C120" s="8">
        <v>32</v>
      </c>
      <c r="D120" s="24">
        <v>1.31240354938271E-2</v>
      </c>
      <c r="E120" s="24">
        <v>37.869365692138601</v>
      </c>
      <c r="F120" s="8">
        <v>32</v>
      </c>
      <c r="G120" s="24">
        <v>1.31240354938271E-2</v>
      </c>
      <c r="H120" s="24">
        <v>37.869365692138601</v>
      </c>
      <c r="I120" s="9"/>
    </row>
    <row r="121" spans="1:9">
      <c r="B121" s="31"/>
      <c r="C121" s="8">
        <v>38</v>
      </c>
      <c r="D121" s="24">
        <v>9.67689043209876E-3</v>
      </c>
      <c r="E121" s="24">
        <v>37.529048919677699</v>
      </c>
      <c r="F121" s="8">
        <v>38</v>
      </c>
      <c r="G121" s="24">
        <v>9.67689043209876E-3</v>
      </c>
      <c r="H121" s="24">
        <v>37.529048919677699</v>
      </c>
      <c r="I121" s="9"/>
    </row>
    <row r="122" spans="1:9" ht="15" thickBot="1">
      <c r="B122" s="32"/>
      <c r="C122" s="10">
        <v>45</v>
      </c>
      <c r="D122" s="24">
        <v>6.8574781378600803E-3</v>
      </c>
      <c r="E122" s="24">
        <v>36.840423583984297</v>
      </c>
      <c r="F122" s="10">
        <v>45</v>
      </c>
      <c r="G122" s="24">
        <v>6.8574781378600803E-3</v>
      </c>
      <c r="H122" s="24">
        <v>36.840423583984297</v>
      </c>
      <c r="I122" s="2"/>
    </row>
    <row r="123" spans="1:9" ht="15" thickBot="1">
      <c r="A123" s="11"/>
      <c r="B123" s="4" t="s">
        <v>2</v>
      </c>
      <c r="C123" s="18"/>
      <c r="D123" s="11"/>
      <c r="E123" s="18"/>
      <c r="F123" s="18"/>
      <c r="G123" s="11"/>
      <c r="H123" s="18"/>
      <c r="I123" s="19">
        <f>AVERAGE(I3:I122)</f>
        <v>0</v>
      </c>
    </row>
    <row r="124" spans="1:9" ht="15" thickBot="1"/>
    <row r="125" spans="1:9">
      <c r="B125" t="s">
        <v>70</v>
      </c>
      <c r="D125">
        <f>AVERAGE(D3,D7,D11,D15,D19,D23,D27,D31,D35,D39,D43,D47,D51,D55,D59,D63,D67,D71,D75,D79,D83,D87,D91,D95,D99,D103,D107,D111,D115,D119)</f>
        <v>0.13422426911865537</v>
      </c>
      <c r="E125">
        <f>AVERAGE(E3,E7,E11,E15,E19,E23,E27,E31,E35,E39,E43,E47,E51,E55,E59,E63,E67,E71,E75,E79,E83,E87,E91,E95,E99,E103,E107,E111,E115,E119)</f>
        <v>38.437385050455688</v>
      </c>
      <c r="G125">
        <f>AVERAGE(G3,G7,G11,G15,G19,G23,G27,G31,G35,G39,G43,G47,G51,G55,G59,G63,G67,G71,G75,G79,G83,G87,G91,G95,G99,G103,G107,G111,G115,G119)</f>
        <v>0.13422426911865537</v>
      </c>
      <c r="H125">
        <f>AVERAGE(H3,H7,H11,H15,H19,H23,H27,H31,H35,H39,H43,H47,H51,H55,H59,H63,H67,H71,H75,H79,H83,H87,H91,H95,H99,H103,H107,H111,H115,H119)</f>
        <v>38.437385050455688</v>
      </c>
      <c r="I125" s="7">
        <f>bdrate($D125:$D128,E125:E128,$G125:$G128,H125:H128)</f>
        <v>0</v>
      </c>
    </row>
    <row r="126" spans="1:9">
      <c r="D126">
        <f t="shared" ref="D126:E128" si="0">AVERAGE(D4,D8,D12,D16,D20,D24,D28,D32,D36,D40,D44,D48,D52,D56,D60,D64,D68,D72,D76,D80,D84,D88,D92,D96,D100,D104,D108,D112,D116,D120)</f>
        <v>9.1119620198902448E-2</v>
      </c>
      <c r="E126">
        <f t="shared" si="0"/>
        <v>37.588327980041441</v>
      </c>
      <c r="G126">
        <f t="shared" ref="G126:H128" si="1">AVERAGE(G4,G8,G12,G16,G20,G24,G28,G32,G36,G40,G44,G48,G52,G56,G60,G64,G68,G72,G76,G80,G84,G88,G92,G96,G100,G104,G108,G112,G116,G120)</f>
        <v>9.1119620198902448E-2</v>
      </c>
      <c r="H126">
        <f t="shared" si="1"/>
        <v>37.588327980041441</v>
      </c>
    </row>
    <row r="127" spans="1:9">
      <c r="D127">
        <f t="shared" si="0"/>
        <v>6.4295647933813288E-2</v>
      </c>
      <c r="E127">
        <f t="shared" si="0"/>
        <v>36.699231719970662</v>
      </c>
      <c r="G127">
        <f t="shared" si="1"/>
        <v>6.4295647933813288E-2</v>
      </c>
      <c r="H127">
        <f t="shared" si="1"/>
        <v>36.699231719970662</v>
      </c>
    </row>
    <row r="128" spans="1:9">
      <c r="D128">
        <f t="shared" si="0"/>
        <v>4.1095320001714633E-2</v>
      </c>
      <c r="E128">
        <f t="shared" si="0"/>
        <v>35.35101706186925</v>
      </c>
      <c r="G128">
        <f t="shared" si="1"/>
        <v>4.1095320001714633E-2</v>
      </c>
      <c r="H128">
        <f t="shared" si="1"/>
        <v>35.35101706186925</v>
      </c>
    </row>
  </sheetData>
  <mergeCells count="32">
    <mergeCell ref="B39:B42"/>
    <mergeCell ref="D1:E1"/>
    <mergeCell ref="G1:H1"/>
    <mergeCell ref="B3:B6"/>
    <mergeCell ref="B7:B10"/>
    <mergeCell ref="B11:B14"/>
    <mergeCell ref="B15:B18"/>
    <mergeCell ref="B19:B22"/>
    <mergeCell ref="B23:B26"/>
    <mergeCell ref="B27:B30"/>
    <mergeCell ref="B31:B34"/>
    <mergeCell ref="B35:B38"/>
    <mergeCell ref="B87:B90"/>
    <mergeCell ref="B43:B46"/>
    <mergeCell ref="B47:B50"/>
    <mergeCell ref="B51:B54"/>
    <mergeCell ref="B55:B58"/>
    <mergeCell ref="B59:B62"/>
    <mergeCell ref="B63:B66"/>
    <mergeCell ref="B67:B70"/>
    <mergeCell ref="B71:B74"/>
    <mergeCell ref="B75:B78"/>
    <mergeCell ref="B79:B82"/>
    <mergeCell ref="B83:B86"/>
    <mergeCell ref="B115:B118"/>
    <mergeCell ref="B119:B122"/>
    <mergeCell ref="B91:B94"/>
    <mergeCell ref="B95:B98"/>
    <mergeCell ref="B99:B102"/>
    <mergeCell ref="B103:B106"/>
    <mergeCell ref="B107:B110"/>
    <mergeCell ref="B111:B114"/>
  </mergeCells>
  <phoneticPr fontId="1" type="noConversion"/>
  <conditionalFormatting sqref="I12:I14 I16:I18">
    <cfRule type="cellIs" dxfId="2399" priority="589" operator="greaterThan">
      <formula>0.03</formula>
    </cfRule>
    <cfRule type="cellIs" dxfId="2398" priority="590" stopIfTrue="1" operator="lessThan">
      <formula>-0.03</formula>
    </cfRule>
  </conditionalFormatting>
  <conditionalFormatting sqref="I12:I14 I16:I18">
    <cfRule type="cellIs" dxfId="2397" priority="587" operator="greaterThan">
      <formula>0.03</formula>
    </cfRule>
    <cfRule type="cellIs" dxfId="2396" priority="588" stopIfTrue="1" operator="lessThan">
      <formula>-0.03</formula>
    </cfRule>
  </conditionalFormatting>
  <conditionalFormatting sqref="I28:I30">
    <cfRule type="cellIs" dxfId="2395" priority="559" operator="greaterThan">
      <formula>0.03</formula>
    </cfRule>
    <cfRule type="cellIs" dxfId="2394" priority="560" stopIfTrue="1" operator="lessThan">
      <formula>-0.03</formula>
    </cfRule>
  </conditionalFormatting>
  <conditionalFormatting sqref="I28:I30">
    <cfRule type="cellIs" dxfId="2393" priority="557" operator="greaterThan">
      <formula>0.03</formula>
    </cfRule>
    <cfRule type="cellIs" dxfId="2392" priority="558" stopIfTrue="1" operator="lessThan">
      <formula>-0.03</formula>
    </cfRule>
  </conditionalFormatting>
  <conditionalFormatting sqref="I28:I30">
    <cfRule type="cellIs" dxfId="2391" priority="555" operator="greaterThan">
      <formula>0.03</formula>
    </cfRule>
    <cfRule type="cellIs" dxfId="2390" priority="556" stopIfTrue="1" operator="lessThan">
      <formula>-0.03</formula>
    </cfRule>
  </conditionalFormatting>
  <conditionalFormatting sqref="I28:I30">
    <cfRule type="cellIs" dxfId="2389" priority="553" operator="greaterThan">
      <formula>0.03</formula>
    </cfRule>
    <cfRule type="cellIs" dxfId="2388" priority="554" stopIfTrue="1" operator="lessThan">
      <formula>-0.03</formula>
    </cfRule>
  </conditionalFormatting>
  <conditionalFormatting sqref="I28:I30">
    <cfRule type="cellIs" dxfId="2387" priority="551" operator="greaterThan">
      <formula>0.03</formula>
    </cfRule>
    <cfRule type="cellIs" dxfId="2386" priority="552" stopIfTrue="1" operator="lessThan">
      <formula>-0.03</formula>
    </cfRule>
  </conditionalFormatting>
  <conditionalFormatting sqref="I20:I22">
    <cfRule type="cellIs" dxfId="2385" priority="595" operator="greaterThan">
      <formula>0.03</formula>
    </cfRule>
    <cfRule type="cellIs" dxfId="2384" priority="596" stopIfTrue="1" operator="lessThan">
      <formula>-0.03</formula>
    </cfRule>
  </conditionalFormatting>
  <conditionalFormatting sqref="I19">
    <cfRule type="cellIs" dxfId="2383" priority="569" operator="greaterThan">
      <formula>0.03</formula>
    </cfRule>
    <cfRule type="cellIs" dxfId="2382" priority="570" stopIfTrue="1" operator="lessThan">
      <formula>-0.03</formula>
    </cfRule>
  </conditionalFormatting>
  <conditionalFormatting sqref="I19">
    <cfRule type="cellIs" dxfId="2381" priority="567" operator="greaterThan">
      <formula>0.03</formula>
    </cfRule>
    <cfRule type="cellIs" dxfId="2380" priority="568" stopIfTrue="1" operator="lessThan">
      <formula>-0.03</formula>
    </cfRule>
  </conditionalFormatting>
  <conditionalFormatting sqref="I19">
    <cfRule type="cellIs" dxfId="2379" priority="565" operator="greaterThan">
      <formula>0.03</formula>
    </cfRule>
    <cfRule type="cellIs" dxfId="2378" priority="566" stopIfTrue="1" operator="lessThan">
      <formula>-0.03</formula>
    </cfRule>
  </conditionalFormatting>
  <conditionalFormatting sqref="I19">
    <cfRule type="cellIs" dxfId="2377" priority="563" operator="greaterThan">
      <formula>0.03</formula>
    </cfRule>
    <cfRule type="cellIs" dxfId="2376" priority="564" stopIfTrue="1" operator="lessThan">
      <formula>-0.03</formula>
    </cfRule>
  </conditionalFormatting>
  <conditionalFormatting sqref="I19">
    <cfRule type="cellIs" dxfId="2375" priority="561" operator="greaterThan">
      <formula>0.03</formula>
    </cfRule>
    <cfRule type="cellIs" dxfId="2374" priority="562" stopIfTrue="1" operator="lessThan">
      <formula>-0.03</formula>
    </cfRule>
  </conditionalFormatting>
  <conditionalFormatting sqref="I20:I22">
    <cfRule type="cellIs" dxfId="2373" priority="599" operator="greaterThan">
      <formula>0.03</formula>
    </cfRule>
    <cfRule type="cellIs" dxfId="2372" priority="600" stopIfTrue="1" operator="lessThan">
      <formula>-0.03</formula>
    </cfRule>
  </conditionalFormatting>
  <conditionalFormatting sqref="I20:I22">
    <cfRule type="cellIs" dxfId="2371" priority="597" operator="greaterThan">
      <formula>0.03</formula>
    </cfRule>
    <cfRule type="cellIs" dxfId="2370" priority="598" stopIfTrue="1" operator="lessThan">
      <formula>-0.03</formula>
    </cfRule>
  </conditionalFormatting>
  <conditionalFormatting sqref="I12:I14 I16:I18">
    <cfRule type="cellIs" dxfId="2369" priority="585" operator="greaterThan">
      <formula>0.03</formula>
    </cfRule>
    <cfRule type="cellIs" dxfId="2368" priority="586" stopIfTrue="1" operator="lessThan">
      <formula>-0.03</formula>
    </cfRule>
  </conditionalFormatting>
  <conditionalFormatting sqref="I20:I22">
    <cfRule type="cellIs" dxfId="2367" priority="593" operator="greaterThan">
      <formula>0.03</formula>
    </cfRule>
    <cfRule type="cellIs" dxfId="2366" priority="594" stopIfTrue="1" operator="lessThan">
      <formula>-0.03</formula>
    </cfRule>
  </conditionalFormatting>
  <conditionalFormatting sqref="I20:I22">
    <cfRule type="cellIs" dxfId="2365" priority="591" operator="greaterThan">
      <formula>0.03</formula>
    </cfRule>
    <cfRule type="cellIs" dxfId="2364" priority="592" stopIfTrue="1" operator="lessThan">
      <formula>-0.03</formula>
    </cfRule>
  </conditionalFormatting>
  <conditionalFormatting sqref="I12:I14 I16:I18">
    <cfRule type="cellIs" dxfId="2363" priority="581" operator="greaterThan">
      <formula>0.03</formula>
    </cfRule>
    <cfRule type="cellIs" dxfId="2362" priority="582" stopIfTrue="1" operator="lessThan">
      <formula>-0.03</formula>
    </cfRule>
  </conditionalFormatting>
  <conditionalFormatting sqref="I12:I14 I16:I18">
    <cfRule type="cellIs" dxfId="2361" priority="583" operator="greaterThan">
      <formula>0.03</formula>
    </cfRule>
    <cfRule type="cellIs" dxfId="2360" priority="584" stopIfTrue="1" operator="lessThan">
      <formula>-0.03</formula>
    </cfRule>
  </conditionalFormatting>
  <conditionalFormatting sqref="I11">
    <cfRule type="cellIs" dxfId="2359" priority="579" operator="greaterThan">
      <formula>0.03</formula>
    </cfRule>
    <cfRule type="cellIs" dxfId="2358" priority="580" stopIfTrue="1" operator="lessThan">
      <formula>-0.03</formula>
    </cfRule>
  </conditionalFormatting>
  <conditionalFormatting sqref="I11">
    <cfRule type="cellIs" dxfId="2357" priority="577" operator="greaterThan">
      <formula>0.03</formula>
    </cfRule>
    <cfRule type="cellIs" dxfId="2356" priority="578" stopIfTrue="1" operator="lessThan">
      <formula>-0.03</formula>
    </cfRule>
  </conditionalFormatting>
  <conditionalFormatting sqref="I11">
    <cfRule type="cellIs" dxfId="2355" priority="575" operator="greaterThan">
      <formula>0.03</formula>
    </cfRule>
    <cfRule type="cellIs" dxfId="2354" priority="576" stopIfTrue="1" operator="lessThan">
      <formula>-0.03</formula>
    </cfRule>
  </conditionalFormatting>
  <conditionalFormatting sqref="I11">
    <cfRule type="cellIs" dxfId="2353" priority="573" operator="greaterThan">
      <formula>0.03</formula>
    </cfRule>
    <cfRule type="cellIs" dxfId="2352" priority="574" stopIfTrue="1" operator="lessThan">
      <formula>-0.03</formula>
    </cfRule>
  </conditionalFormatting>
  <conditionalFormatting sqref="I11">
    <cfRule type="cellIs" dxfId="2351" priority="571" operator="greaterThan">
      <formula>0.03</formula>
    </cfRule>
    <cfRule type="cellIs" dxfId="2350" priority="572" stopIfTrue="1" operator="lessThan">
      <formula>-0.03</formula>
    </cfRule>
  </conditionalFormatting>
  <conditionalFormatting sqref="I24:I26">
    <cfRule type="cellIs" dxfId="2349" priority="549" operator="greaterThan">
      <formula>0.03</formula>
    </cfRule>
    <cfRule type="cellIs" dxfId="2348" priority="550" stopIfTrue="1" operator="lessThan">
      <formula>-0.03</formula>
    </cfRule>
  </conditionalFormatting>
  <conditionalFormatting sqref="I24:I26">
    <cfRule type="cellIs" dxfId="2347" priority="547" operator="greaterThan">
      <formula>0.03</formula>
    </cfRule>
    <cfRule type="cellIs" dxfId="2346" priority="548" stopIfTrue="1" operator="lessThan">
      <formula>-0.03</formula>
    </cfRule>
  </conditionalFormatting>
  <conditionalFormatting sqref="I27">
    <cfRule type="cellIs" dxfId="2345" priority="529" operator="greaterThan">
      <formula>0.03</formula>
    </cfRule>
    <cfRule type="cellIs" dxfId="2344" priority="530" stopIfTrue="1" operator="lessThan">
      <formula>-0.03</formula>
    </cfRule>
  </conditionalFormatting>
  <conditionalFormatting sqref="I27">
    <cfRule type="cellIs" dxfId="2343" priority="527" operator="greaterThan">
      <formula>0.03</formula>
    </cfRule>
    <cfRule type="cellIs" dxfId="2342" priority="528" stopIfTrue="1" operator="lessThan">
      <formula>-0.03</formula>
    </cfRule>
  </conditionalFormatting>
  <conditionalFormatting sqref="I27">
    <cfRule type="cellIs" dxfId="2341" priority="525" operator="greaterThan">
      <formula>0.03</formula>
    </cfRule>
    <cfRule type="cellIs" dxfId="2340" priority="526" stopIfTrue="1" operator="lessThan">
      <formula>-0.03</formula>
    </cfRule>
  </conditionalFormatting>
  <conditionalFormatting sqref="I27">
    <cfRule type="cellIs" dxfId="2339" priority="523" operator="greaterThan">
      <formula>0.03</formula>
    </cfRule>
    <cfRule type="cellIs" dxfId="2338" priority="524" stopIfTrue="1" operator="lessThan">
      <formula>-0.03</formula>
    </cfRule>
  </conditionalFormatting>
  <conditionalFormatting sqref="I27">
    <cfRule type="cellIs" dxfId="2337" priority="521" operator="greaterThan">
      <formula>0.03</formula>
    </cfRule>
    <cfRule type="cellIs" dxfId="2336" priority="522" stopIfTrue="1" operator="lessThan">
      <formula>-0.03</formula>
    </cfRule>
  </conditionalFormatting>
  <conditionalFormatting sqref="I24:I26">
    <cfRule type="cellIs" dxfId="2335" priority="545" operator="greaterThan">
      <formula>0.03</formula>
    </cfRule>
    <cfRule type="cellIs" dxfId="2334" priority="546" stopIfTrue="1" operator="lessThan">
      <formula>-0.03</formula>
    </cfRule>
  </conditionalFormatting>
  <conditionalFormatting sqref="I24:I26">
    <cfRule type="cellIs" dxfId="2333" priority="541" operator="greaterThan">
      <formula>0.03</formula>
    </cfRule>
    <cfRule type="cellIs" dxfId="2332" priority="542" stopIfTrue="1" operator="lessThan">
      <formula>-0.03</formula>
    </cfRule>
  </conditionalFormatting>
  <conditionalFormatting sqref="I24:I26">
    <cfRule type="cellIs" dxfId="2331" priority="543" operator="greaterThan">
      <formula>0.03</formula>
    </cfRule>
    <cfRule type="cellIs" dxfId="2330" priority="544" stopIfTrue="1" operator="lessThan">
      <formula>-0.03</formula>
    </cfRule>
  </conditionalFormatting>
  <conditionalFormatting sqref="I23">
    <cfRule type="cellIs" dxfId="2329" priority="539" operator="greaterThan">
      <formula>0.03</formula>
    </cfRule>
    <cfRule type="cellIs" dxfId="2328" priority="540" stopIfTrue="1" operator="lessThan">
      <formula>-0.03</formula>
    </cfRule>
  </conditionalFormatting>
  <conditionalFormatting sqref="I23">
    <cfRule type="cellIs" dxfId="2327" priority="537" operator="greaterThan">
      <formula>0.03</formula>
    </cfRule>
    <cfRule type="cellIs" dxfId="2326" priority="538" stopIfTrue="1" operator="lessThan">
      <formula>-0.03</formula>
    </cfRule>
  </conditionalFormatting>
  <conditionalFormatting sqref="I23">
    <cfRule type="cellIs" dxfId="2325" priority="535" operator="greaterThan">
      <formula>0.03</formula>
    </cfRule>
    <cfRule type="cellIs" dxfId="2324" priority="536" stopIfTrue="1" operator="lessThan">
      <formula>-0.03</formula>
    </cfRule>
  </conditionalFormatting>
  <conditionalFormatting sqref="I23">
    <cfRule type="cellIs" dxfId="2323" priority="533" operator="greaterThan">
      <formula>0.03</formula>
    </cfRule>
    <cfRule type="cellIs" dxfId="2322" priority="534" stopIfTrue="1" operator="lessThan">
      <formula>-0.03</formula>
    </cfRule>
  </conditionalFormatting>
  <conditionalFormatting sqref="I23">
    <cfRule type="cellIs" dxfId="2321" priority="531" operator="greaterThan">
      <formula>0.03</formula>
    </cfRule>
    <cfRule type="cellIs" dxfId="2320" priority="532" stopIfTrue="1" operator="lessThan">
      <formula>-0.03</formula>
    </cfRule>
  </conditionalFormatting>
  <conditionalFormatting sqref="I44:I46">
    <cfRule type="cellIs" dxfId="2319" priority="519" operator="greaterThan">
      <formula>0.03</formula>
    </cfRule>
    <cfRule type="cellIs" dxfId="2318" priority="520" stopIfTrue="1" operator="lessThan">
      <formula>-0.03</formula>
    </cfRule>
  </conditionalFormatting>
  <conditionalFormatting sqref="I44:I46">
    <cfRule type="cellIs" dxfId="2317" priority="517" operator="greaterThan">
      <formula>0.03</formula>
    </cfRule>
    <cfRule type="cellIs" dxfId="2316" priority="518" stopIfTrue="1" operator="lessThan">
      <formula>-0.03</formula>
    </cfRule>
  </conditionalFormatting>
  <conditionalFormatting sqref="I44:I46">
    <cfRule type="cellIs" dxfId="2315" priority="515" operator="greaterThan">
      <formula>0.03</formula>
    </cfRule>
    <cfRule type="cellIs" dxfId="2314" priority="516" stopIfTrue="1" operator="lessThan">
      <formula>-0.03</formula>
    </cfRule>
  </conditionalFormatting>
  <conditionalFormatting sqref="I44:I46">
    <cfRule type="cellIs" dxfId="2313" priority="513" operator="greaterThan">
      <formula>0.03</formula>
    </cfRule>
    <cfRule type="cellIs" dxfId="2312" priority="514" stopIfTrue="1" operator="lessThan">
      <formula>-0.03</formula>
    </cfRule>
  </conditionalFormatting>
  <conditionalFormatting sqref="I44:I46">
    <cfRule type="cellIs" dxfId="2311" priority="511" operator="greaterThan">
      <formula>0.03</formula>
    </cfRule>
    <cfRule type="cellIs" dxfId="2310" priority="512" stopIfTrue="1" operator="lessThan">
      <formula>-0.03</formula>
    </cfRule>
  </conditionalFormatting>
  <conditionalFormatting sqref="I40:I42">
    <cfRule type="cellIs" dxfId="2309" priority="509" operator="greaterThan">
      <formula>0.03</formula>
    </cfRule>
    <cfRule type="cellIs" dxfId="2308" priority="510" stopIfTrue="1" operator="lessThan">
      <formula>-0.03</formula>
    </cfRule>
  </conditionalFormatting>
  <conditionalFormatting sqref="I40:I42">
    <cfRule type="cellIs" dxfId="2307" priority="507" operator="greaterThan">
      <formula>0.03</formula>
    </cfRule>
    <cfRule type="cellIs" dxfId="2306" priority="508" stopIfTrue="1" operator="lessThan">
      <formula>-0.03</formula>
    </cfRule>
  </conditionalFormatting>
  <conditionalFormatting sqref="I43">
    <cfRule type="cellIs" dxfId="2305" priority="489" operator="greaterThan">
      <formula>0.03</formula>
    </cfRule>
    <cfRule type="cellIs" dxfId="2304" priority="490" stopIfTrue="1" operator="lessThan">
      <formula>-0.03</formula>
    </cfRule>
  </conditionalFormatting>
  <conditionalFormatting sqref="I43">
    <cfRule type="cellIs" dxfId="2303" priority="487" operator="greaterThan">
      <formula>0.03</formula>
    </cfRule>
    <cfRule type="cellIs" dxfId="2302" priority="488" stopIfTrue="1" operator="lessThan">
      <formula>-0.03</formula>
    </cfRule>
  </conditionalFormatting>
  <conditionalFormatting sqref="I43">
    <cfRule type="cellIs" dxfId="2301" priority="485" operator="greaterThan">
      <formula>0.03</formula>
    </cfRule>
    <cfRule type="cellIs" dxfId="2300" priority="486" stopIfTrue="1" operator="lessThan">
      <formula>-0.03</formula>
    </cfRule>
  </conditionalFormatting>
  <conditionalFormatting sqref="I43">
    <cfRule type="cellIs" dxfId="2299" priority="483" operator="greaterThan">
      <formula>0.03</formula>
    </cfRule>
    <cfRule type="cellIs" dxfId="2298" priority="484" stopIfTrue="1" operator="lessThan">
      <formula>-0.03</formula>
    </cfRule>
  </conditionalFormatting>
  <conditionalFormatting sqref="I43">
    <cfRule type="cellIs" dxfId="2297" priority="481" operator="greaterThan">
      <formula>0.03</formula>
    </cfRule>
    <cfRule type="cellIs" dxfId="2296" priority="482" stopIfTrue="1" operator="lessThan">
      <formula>-0.03</formula>
    </cfRule>
  </conditionalFormatting>
  <conditionalFormatting sqref="I40:I42">
    <cfRule type="cellIs" dxfId="2295" priority="505" operator="greaterThan">
      <formula>0.03</formula>
    </cfRule>
    <cfRule type="cellIs" dxfId="2294" priority="506" stopIfTrue="1" operator="lessThan">
      <formula>-0.03</formula>
    </cfRule>
  </conditionalFormatting>
  <conditionalFormatting sqref="I40:I42">
    <cfRule type="cellIs" dxfId="2293" priority="501" operator="greaterThan">
      <formula>0.03</formula>
    </cfRule>
    <cfRule type="cellIs" dxfId="2292" priority="502" stopIfTrue="1" operator="lessThan">
      <formula>-0.03</formula>
    </cfRule>
  </conditionalFormatting>
  <conditionalFormatting sqref="I40:I42">
    <cfRule type="cellIs" dxfId="2291" priority="503" operator="greaterThan">
      <formula>0.03</formula>
    </cfRule>
    <cfRule type="cellIs" dxfId="2290" priority="504" stopIfTrue="1" operator="lessThan">
      <formula>-0.03</formula>
    </cfRule>
  </conditionalFormatting>
  <conditionalFormatting sqref="I39">
    <cfRule type="cellIs" dxfId="2289" priority="499" operator="greaterThan">
      <formula>0.03</formula>
    </cfRule>
    <cfRule type="cellIs" dxfId="2288" priority="500" stopIfTrue="1" operator="lessThan">
      <formula>-0.03</formula>
    </cfRule>
  </conditionalFormatting>
  <conditionalFormatting sqref="I39">
    <cfRule type="cellIs" dxfId="2287" priority="497" operator="greaterThan">
      <formula>0.03</formula>
    </cfRule>
    <cfRule type="cellIs" dxfId="2286" priority="498" stopIfTrue="1" operator="lessThan">
      <formula>-0.03</formula>
    </cfRule>
  </conditionalFormatting>
  <conditionalFormatting sqref="I39">
    <cfRule type="cellIs" dxfId="2285" priority="495" operator="greaterThan">
      <formula>0.03</formula>
    </cfRule>
    <cfRule type="cellIs" dxfId="2284" priority="496" stopIfTrue="1" operator="lessThan">
      <formula>-0.03</formula>
    </cfRule>
  </conditionalFormatting>
  <conditionalFormatting sqref="I39">
    <cfRule type="cellIs" dxfId="2283" priority="493" operator="greaterThan">
      <formula>0.03</formula>
    </cfRule>
    <cfRule type="cellIs" dxfId="2282" priority="494" stopIfTrue="1" operator="lessThan">
      <formula>-0.03</formula>
    </cfRule>
  </conditionalFormatting>
  <conditionalFormatting sqref="I39">
    <cfRule type="cellIs" dxfId="2281" priority="491" operator="greaterThan">
      <formula>0.03</formula>
    </cfRule>
    <cfRule type="cellIs" dxfId="2280" priority="492" stopIfTrue="1" operator="lessThan">
      <formula>-0.03</formula>
    </cfRule>
  </conditionalFormatting>
  <conditionalFormatting sqref="I64:I66">
    <cfRule type="cellIs" dxfId="2279" priority="479" operator="greaterThan">
      <formula>0.03</formula>
    </cfRule>
    <cfRule type="cellIs" dxfId="2278" priority="480" stopIfTrue="1" operator="lessThan">
      <formula>-0.03</formula>
    </cfRule>
  </conditionalFormatting>
  <conditionalFormatting sqref="I64:I66">
    <cfRule type="cellIs" dxfId="2277" priority="477" operator="greaterThan">
      <formula>0.03</formula>
    </cfRule>
    <cfRule type="cellIs" dxfId="2276" priority="478" stopIfTrue="1" operator="lessThan">
      <formula>-0.03</formula>
    </cfRule>
  </conditionalFormatting>
  <conditionalFormatting sqref="I64:I66">
    <cfRule type="cellIs" dxfId="2275" priority="475" operator="greaterThan">
      <formula>0.03</formula>
    </cfRule>
    <cfRule type="cellIs" dxfId="2274" priority="476" stopIfTrue="1" operator="lessThan">
      <formula>-0.03</formula>
    </cfRule>
  </conditionalFormatting>
  <conditionalFormatting sqref="I64:I66">
    <cfRule type="cellIs" dxfId="2273" priority="473" operator="greaterThan">
      <formula>0.03</formula>
    </cfRule>
    <cfRule type="cellIs" dxfId="2272" priority="474" stopIfTrue="1" operator="lessThan">
      <formula>-0.03</formula>
    </cfRule>
  </conditionalFormatting>
  <conditionalFormatting sqref="I64:I66">
    <cfRule type="cellIs" dxfId="2271" priority="471" operator="greaterThan">
      <formula>0.03</formula>
    </cfRule>
    <cfRule type="cellIs" dxfId="2270" priority="472" stopIfTrue="1" operator="lessThan">
      <formula>-0.03</formula>
    </cfRule>
  </conditionalFormatting>
  <conditionalFormatting sqref="I56:I58">
    <cfRule type="cellIs" dxfId="2269" priority="469" operator="greaterThan">
      <formula>0.03</formula>
    </cfRule>
    <cfRule type="cellIs" dxfId="2268" priority="470" stopIfTrue="1" operator="lessThan">
      <formula>-0.03</formula>
    </cfRule>
  </conditionalFormatting>
  <conditionalFormatting sqref="I56:I58">
    <cfRule type="cellIs" dxfId="2267" priority="467" operator="greaterThan">
      <formula>0.03</formula>
    </cfRule>
    <cfRule type="cellIs" dxfId="2266" priority="468" stopIfTrue="1" operator="lessThan">
      <formula>-0.03</formula>
    </cfRule>
  </conditionalFormatting>
  <conditionalFormatting sqref="I63">
    <cfRule type="cellIs" dxfId="2265" priority="449" operator="greaterThan">
      <formula>0.03</formula>
    </cfRule>
    <cfRule type="cellIs" dxfId="2264" priority="450" stopIfTrue="1" operator="lessThan">
      <formula>-0.03</formula>
    </cfRule>
  </conditionalFormatting>
  <conditionalFormatting sqref="I63">
    <cfRule type="cellIs" dxfId="2263" priority="447" operator="greaterThan">
      <formula>0.03</formula>
    </cfRule>
    <cfRule type="cellIs" dxfId="2262" priority="448" stopIfTrue="1" operator="lessThan">
      <formula>-0.03</formula>
    </cfRule>
  </conditionalFormatting>
  <conditionalFormatting sqref="I63">
    <cfRule type="cellIs" dxfId="2261" priority="445" operator="greaterThan">
      <formula>0.03</formula>
    </cfRule>
    <cfRule type="cellIs" dxfId="2260" priority="446" stopIfTrue="1" operator="lessThan">
      <formula>-0.03</formula>
    </cfRule>
  </conditionalFormatting>
  <conditionalFormatting sqref="I63">
    <cfRule type="cellIs" dxfId="2259" priority="443" operator="greaterThan">
      <formula>0.03</formula>
    </cfRule>
    <cfRule type="cellIs" dxfId="2258" priority="444" stopIfTrue="1" operator="lessThan">
      <formula>-0.03</formula>
    </cfRule>
  </conditionalFormatting>
  <conditionalFormatting sqref="I63">
    <cfRule type="cellIs" dxfId="2257" priority="441" operator="greaterThan">
      <formula>0.03</formula>
    </cfRule>
    <cfRule type="cellIs" dxfId="2256" priority="442" stopIfTrue="1" operator="lessThan">
      <formula>-0.03</formula>
    </cfRule>
  </conditionalFormatting>
  <conditionalFormatting sqref="I56:I58">
    <cfRule type="cellIs" dxfId="2255" priority="465" operator="greaterThan">
      <formula>0.03</formula>
    </cfRule>
    <cfRule type="cellIs" dxfId="2254" priority="466" stopIfTrue="1" operator="lessThan">
      <formula>-0.03</formula>
    </cfRule>
  </conditionalFormatting>
  <conditionalFormatting sqref="I56:I58">
    <cfRule type="cellIs" dxfId="2253" priority="461" operator="greaterThan">
      <formula>0.03</formula>
    </cfRule>
    <cfRule type="cellIs" dxfId="2252" priority="462" stopIfTrue="1" operator="lessThan">
      <formula>-0.03</formula>
    </cfRule>
  </conditionalFormatting>
  <conditionalFormatting sqref="I56:I58">
    <cfRule type="cellIs" dxfId="2251" priority="463" operator="greaterThan">
      <formula>0.03</formula>
    </cfRule>
    <cfRule type="cellIs" dxfId="2250" priority="464" stopIfTrue="1" operator="lessThan">
      <formula>-0.03</formula>
    </cfRule>
  </conditionalFormatting>
  <conditionalFormatting sqref="I55">
    <cfRule type="cellIs" dxfId="2249" priority="459" operator="greaterThan">
      <formula>0.03</formula>
    </cfRule>
    <cfRule type="cellIs" dxfId="2248" priority="460" stopIfTrue="1" operator="lessThan">
      <formula>-0.03</formula>
    </cfRule>
  </conditionalFormatting>
  <conditionalFormatting sqref="I55">
    <cfRule type="cellIs" dxfId="2247" priority="457" operator="greaterThan">
      <formula>0.03</formula>
    </cfRule>
    <cfRule type="cellIs" dxfId="2246" priority="458" stopIfTrue="1" operator="lessThan">
      <formula>-0.03</formula>
    </cfRule>
  </conditionalFormatting>
  <conditionalFormatting sqref="I55">
    <cfRule type="cellIs" dxfId="2245" priority="455" operator="greaterThan">
      <formula>0.03</formula>
    </cfRule>
    <cfRule type="cellIs" dxfId="2244" priority="456" stopIfTrue="1" operator="lessThan">
      <formula>-0.03</formula>
    </cfRule>
  </conditionalFormatting>
  <conditionalFormatting sqref="I55">
    <cfRule type="cellIs" dxfId="2243" priority="453" operator="greaterThan">
      <formula>0.03</formula>
    </cfRule>
    <cfRule type="cellIs" dxfId="2242" priority="454" stopIfTrue="1" operator="lessThan">
      <formula>-0.03</formula>
    </cfRule>
  </conditionalFormatting>
  <conditionalFormatting sqref="I55">
    <cfRule type="cellIs" dxfId="2241" priority="451" operator="greaterThan">
      <formula>0.03</formula>
    </cfRule>
    <cfRule type="cellIs" dxfId="2240" priority="452" stopIfTrue="1" operator="lessThan">
      <formula>-0.03</formula>
    </cfRule>
  </conditionalFormatting>
  <conditionalFormatting sqref="I36:I38">
    <cfRule type="cellIs" dxfId="2239" priority="439" operator="greaterThan">
      <formula>0.03</formula>
    </cfRule>
    <cfRule type="cellIs" dxfId="2238" priority="440" stopIfTrue="1" operator="lessThan">
      <formula>-0.03</formula>
    </cfRule>
  </conditionalFormatting>
  <conditionalFormatting sqref="I36:I38">
    <cfRule type="cellIs" dxfId="2237" priority="437" operator="greaterThan">
      <formula>0.03</formula>
    </cfRule>
    <cfRule type="cellIs" dxfId="2236" priority="438" stopIfTrue="1" operator="lessThan">
      <formula>-0.03</formula>
    </cfRule>
  </conditionalFormatting>
  <conditionalFormatting sqref="I36:I38">
    <cfRule type="cellIs" dxfId="2235" priority="435" operator="greaterThan">
      <formula>0.03</formula>
    </cfRule>
    <cfRule type="cellIs" dxfId="2234" priority="436" stopIfTrue="1" operator="lessThan">
      <formula>-0.03</formula>
    </cfRule>
  </conditionalFormatting>
  <conditionalFormatting sqref="I36:I38">
    <cfRule type="cellIs" dxfId="2233" priority="433" operator="greaterThan">
      <formula>0.03</formula>
    </cfRule>
    <cfRule type="cellIs" dxfId="2232" priority="434" stopIfTrue="1" operator="lessThan">
      <formula>-0.03</formula>
    </cfRule>
  </conditionalFormatting>
  <conditionalFormatting sqref="I36:I38">
    <cfRule type="cellIs" dxfId="2231" priority="431" operator="greaterThan">
      <formula>0.03</formula>
    </cfRule>
    <cfRule type="cellIs" dxfId="2230" priority="432" stopIfTrue="1" operator="lessThan">
      <formula>-0.03</formula>
    </cfRule>
  </conditionalFormatting>
  <conditionalFormatting sqref="I32:I34">
    <cfRule type="cellIs" dxfId="2229" priority="429" operator="greaterThan">
      <formula>0.03</formula>
    </cfRule>
    <cfRule type="cellIs" dxfId="2228" priority="430" stopIfTrue="1" operator="lessThan">
      <formula>-0.03</formula>
    </cfRule>
  </conditionalFormatting>
  <conditionalFormatting sqref="I32:I34">
    <cfRule type="cellIs" dxfId="2227" priority="427" operator="greaterThan">
      <formula>0.03</formula>
    </cfRule>
    <cfRule type="cellIs" dxfId="2226" priority="428" stopIfTrue="1" operator="lessThan">
      <formula>-0.03</formula>
    </cfRule>
  </conditionalFormatting>
  <conditionalFormatting sqref="I35">
    <cfRule type="cellIs" dxfId="2225" priority="409" operator="greaterThan">
      <formula>0.03</formula>
    </cfRule>
    <cfRule type="cellIs" dxfId="2224" priority="410" stopIfTrue="1" operator="lessThan">
      <formula>-0.03</formula>
    </cfRule>
  </conditionalFormatting>
  <conditionalFormatting sqref="I35">
    <cfRule type="cellIs" dxfId="2223" priority="407" operator="greaterThan">
      <formula>0.03</formula>
    </cfRule>
    <cfRule type="cellIs" dxfId="2222" priority="408" stopIfTrue="1" operator="lessThan">
      <formula>-0.03</formula>
    </cfRule>
  </conditionalFormatting>
  <conditionalFormatting sqref="I35">
    <cfRule type="cellIs" dxfId="2221" priority="405" operator="greaterThan">
      <formula>0.03</formula>
    </cfRule>
    <cfRule type="cellIs" dxfId="2220" priority="406" stopIfTrue="1" operator="lessThan">
      <formula>-0.03</formula>
    </cfRule>
  </conditionalFormatting>
  <conditionalFormatting sqref="I35">
    <cfRule type="cellIs" dxfId="2219" priority="403" operator="greaterThan">
      <formula>0.03</formula>
    </cfRule>
    <cfRule type="cellIs" dxfId="2218" priority="404" stopIfTrue="1" operator="lessThan">
      <formula>-0.03</formula>
    </cfRule>
  </conditionalFormatting>
  <conditionalFormatting sqref="I35">
    <cfRule type="cellIs" dxfId="2217" priority="401" operator="greaterThan">
      <formula>0.03</formula>
    </cfRule>
    <cfRule type="cellIs" dxfId="2216" priority="402" stopIfTrue="1" operator="lessThan">
      <formula>-0.03</formula>
    </cfRule>
  </conditionalFormatting>
  <conditionalFormatting sqref="I32:I34">
    <cfRule type="cellIs" dxfId="2215" priority="425" operator="greaterThan">
      <formula>0.03</formula>
    </cfRule>
    <cfRule type="cellIs" dxfId="2214" priority="426" stopIfTrue="1" operator="lessThan">
      <formula>-0.03</formula>
    </cfRule>
  </conditionalFormatting>
  <conditionalFormatting sqref="I32:I34">
    <cfRule type="cellIs" dxfId="2213" priority="421" operator="greaterThan">
      <formula>0.03</formula>
    </cfRule>
    <cfRule type="cellIs" dxfId="2212" priority="422" stopIfTrue="1" operator="lessThan">
      <formula>-0.03</formula>
    </cfRule>
  </conditionalFormatting>
  <conditionalFormatting sqref="I32:I34">
    <cfRule type="cellIs" dxfId="2211" priority="423" operator="greaterThan">
      <formula>0.03</formula>
    </cfRule>
    <cfRule type="cellIs" dxfId="2210" priority="424" stopIfTrue="1" operator="lessThan">
      <formula>-0.03</formula>
    </cfRule>
  </conditionalFormatting>
  <conditionalFormatting sqref="I31">
    <cfRule type="cellIs" dxfId="2209" priority="419" operator="greaterThan">
      <formula>0.03</formula>
    </cfRule>
    <cfRule type="cellIs" dxfId="2208" priority="420" stopIfTrue="1" operator="lessThan">
      <formula>-0.03</formula>
    </cfRule>
  </conditionalFormatting>
  <conditionalFormatting sqref="I31">
    <cfRule type="cellIs" dxfId="2207" priority="417" operator="greaterThan">
      <formula>0.03</formula>
    </cfRule>
    <cfRule type="cellIs" dxfId="2206" priority="418" stopIfTrue="1" operator="lessThan">
      <formula>-0.03</formula>
    </cfRule>
  </conditionalFormatting>
  <conditionalFormatting sqref="I31">
    <cfRule type="cellIs" dxfId="2205" priority="415" operator="greaterThan">
      <formula>0.03</formula>
    </cfRule>
    <cfRule type="cellIs" dxfId="2204" priority="416" stopIfTrue="1" operator="lessThan">
      <formula>-0.03</formula>
    </cfRule>
  </conditionalFormatting>
  <conditionalFormatting sqref="I31">
    <cfRule type="cellIs" dxfId="2203" priority="413" operator="greaterThan">
      <formula>0.03</formula>
    </cfRule>
    <cfRule type="cellIs" dxfId="2202" priority="414" stopIfTrue="1" operator="lessThan">
      <formula>-0.03</formula>
    </cfRule>
  </conditionalFormatting>
  <conditionalFormatting sqref="I31">
    <cfRule type="cellIs" dxfId="2201" priority="411" operator="greaterThan">
      <formula>0.03</formula>
    </cfRule>
    <cfRule type="cellIs" dxfId="2200" priority="412" stopIfTrue="1" operator="lessThan">
      <formula>-0.03</formula>
    </cfRule>
  </conditionalFormatting>
  <conditionalFormatting sqref="I52:I54">
    <cfRule type="cellIs" dxfId="2199" priority="399" operator="greaterThan">
      <formula>0.03</formula>
    </cfRule>
    <cfRule type="cellIs" dxfId="2198" priority="400" stopIfTrue="1" operator="lessThan">
      <formula>-0.03</formula>
    </cfRule>
  </conditionalFormatting>
  <conditionalFormatting sqref="I52:I54">
    <cfRule type="cellIs" dxfId="2197" priority="397" operator="greaterThan">
      <formula>0.03</formula>
    </cfRule>
    <cfRule type="cellIs" dxfId="2196" priority="398" stopIfTrue="1" operator="lessThan">
      <formula>-0.03</formula>
    </cfRule>
  </conditionalFormatting>
  <conditionalFormatting sqref="I52:I54">
    <cfRule type="cellIs" dxfId="2195" priority="395" operator="greaterThan">
      <formula>0.03</formula>
    </cfRule>
    <cfRule type="cellIs" dxfId="2194" priority="396" stopIfTrue="1" operator="lessThan">
      <formula>-0.03</formula>
    </cfRule>
  </conditionalFormatting>
  <conditionalFormatting sqref="I52:I54">
    <cfRule type="cellIs" dxfId="2193" priority="393" operator="greaterThan">
      <formula>0.03</formula>
    </cfRule>
    <cfRule type="cellIs" dxfId="2192" priority="394" stopIfTrue="1" operator="lessThan">
      <formula>-0.03</formula>
    </cfRule>
  </conditionalFormatting>
  <conditionalFormatting sqref="I52:I54">
    <cfRule type="cellIs" dxfId="2191" priority="391" operator="greaterThan">
      <formula>0.03</formula>
    </cfRule>
    <cfRule type="cellIs" dxfId="2190" priority="392" stopIfTrue="1" operator="lessThan">
      <formula>-0.03</formula>
    </cfRule>
  </conditionalFormatting>
  <conditionalFormatting sqref="I48:I50">
    <cfRule type="cellIs" dxfId="2189" priority="389" operator="greaterThan">
      <formula>0.03</formula>
    </cfRule>
    <cfRule type="cellIs" dxfId="2188" priority="390" stopIfTrue="1" operator="lessThan">
      <formula>-0.03</formula>
    </cfRule>
  </conditionalFormatting>
  <conditionalFormatting sqref="I48:I50">
    <cfRule type="cellIs" dxfId="2187" priority="387" operator="greaterThan">
      <formula>0.03</formula>
    </cfRule>
    <cfRule type="cellIs" dxfId="2186" priority="388" stopIfTrue="1" operator="lessThan">
      <formula>-0.03</formula>
    </cfRule>
  </conditionalFormatting>
  <conditionalFormatting sqref="I51">
    <cfRule type="cellIs" dxfId="2185" priority="369" operator="greaterThan">
      <formula>0.03</formula>
    </cfRule>
    <cfRule type="cellIs" dxfId="2184" priority="370" stopIfTrue="1" operator="lessThan">
      <formula>-0.03</formula>
    </cfRule>
  </conditionalFormatting>
  <conditionalFormatting sqref="I51">
    <cfRule type="cellIs" dxfId="2183" priority="367" operator="greaterThan">
      <formula>0.03</formula>
    </cfRule>
    <cfRule type="cellIs" dxfId="2182" priority="368" stopIfTrue="1" operator="lessThan">
      <formula>-0.03</formula>
    </cfRule>
  </conditionalFormatting>
  <conditionalFormatting sqref="I51">
    <cfRule type="cellIs" dxfId="2181" priority="365" operator="greaterThan">
      <formula>0.03</formula>
    </cfRule>
    <cfRule type="cellIs" dxfId="2180" priority="366" stopIfTrue="1" operator="lessThan">
      <formula>-0.03</formula>
    </cfRule>
  </conditionalFormatting>
  <conditionalFormatting sqref="I51">
    <cfRule type="cellIs" dxfId="2179" priority="363" operator="greaterThan">
      <formula>0.03</formula>
    </cfRule>
    <cfRule type="cellIs" dxfId="2178" priority="364" stopIfTrue="1" operator="lessThan">
      <formula>-0.03</formula>
    </cfRule>
  </conditionalFormatting>
  <conditionalFormatting sqref="I51">
    <cfRule type="cellIs" dxfId="2177" priority="361" operator="greaterThan">
      <formula>0.03</formula>
    </cfRule>
    <cfRule type="cellIs" dxfId="2176" priority="362" stopIfTrue="1" operator="lessThan">
      <formula>-0.03</formula>
    </cfRule>
  </conditionalFormatting>
  <conditionalFormatting sqref="I48:I50">
    <cfRule type="cellIs" dxfId="2175" priority="385" operator="greaterThan">
      <formula>0.03</formula>
    </cfRule>
    <cfRule type="cellIs" dxfId="2174" priority="386" stopIfTrue="1" operator="lessThan">
      <formula>-0.03</formula>
    </cfRule>
  </conditionalFormatting>
  <conditionalFormatting sqref="I48:I50">
    <cfRule type="cellIs" dxfId="2173" priority="381" operator="greaterThan">
      <formula>0.03</formula>
    </cfRule>
    <cfRule type="cellIs" dxfId="2172" priority="382" stopIfTrue="1" operator="lessThan">
      <formula>-0.03</formula>
    </cfRule>
  </conditionalFormatting>
  <conditionalFormatting sqref="I48:I50">
    <cfRule type="cellIs" dxfId="2171" priority="383" operator="greaterThan">
      <formula>0.03</formula>
    </cfRule>
    <cfRule type="cellIs" dxfId="2170" priority="384" stopIfTrue="1" operator="lessThan">
      <formula>-0.03</formula>
    </cfRule>
  </conditionalFormatting>
  <conditionalFormatting sqref="I47">
    <cfRule type="cellIs" dxfId="2169" priority="379" operator="greaterThan">
      <formula>0.03</formula>
    </cfRule>
    <cfRule type="cellIs" dxfId="2168" priority="380" stopIfTrue="1" operator="lessThan">
      <formula>-0.03</formula>
    </cfRule>
  </conditionalFormatting>
  <conditionalFormatting sqref="I47">
    <cfRule type="cellIs" dxfId="2167" priority="377" operator="greaterThan">
      <formula>0.03</formula>
    </cfRule>
    <cfRule type="cellIs" dxfId="2166" priority="378" stopIfTrue="1" operator="lessThan">
      <formula>-0.03</formula>
    </cfRule>
  </conditionalFormatting>
  <conditionalFormatting sqref="I47">
    <cfRule type="cellIs" dxfId="2165" priority="375" operator="greaterThan">
      <formula>0.03</formula>
    </cfRule>
    <cfRule type="cellIs" dxfId="2164" priority="376" stopIfTrue="1" operator="lessThan">
      <formula>-0.03</formula>
    </cfRule>
  </conditionalFormatting>
  <conditionalFormatting sqref="I47">
    <cfRule type="cellIs" dxfId="2163" priority="373" operator="greaterThan">
      <formula>0.03</formula>
    </cfRule>
    <cfRule type="cellIs" dxfId="2162" priority="374" stopIfTrue="1" operator="lessThan">
      <formula>-0.03</formula>
    </cfRule>
  </conditionalFormatting>
  <conditionalFormatting sqref="I47">
    <cfRule type="cellIs" dxfId="2161" priority="371" operator="greaterThan">
      <formula>0.03</formula>
    </cfRule>
    <cfRule type="cellIs" dxfId="2160" priority="372" stopIfTrue="1" operator="lessThan">
      <formula>-0.03</formula>
    </cfRule>
  </conditionalFormatting>
  <conditionalFormatting sqref="I60:I62">
    <cfRule type="cellIs" dxfId="2159" priority="359" operator="greaterThan">
      <formula>0.03</formula>
    </cfRule>
    <cfRule type="cellIs" dxfId="2158" priority="360" stopIfTrue="1" operator="lessThan">
      <formula>-0.03</formula>
    </cfRule>
  </conditionalFormatting>
  <conditionalFormatting sqref="I60:I62">
    <cfRule type="cellIs" dxfId="2157" priority="357" operator="greaterThan">
      <formula>0.03</formula>
    </cfRule>
    <cfRule type="cellIs" dxfId="2156" priority="358" stopIfTrue="1" operator="lessThan">
      <formula>-0.03</formula>
    </cfRule>
  </conditionalFormatting>
  <conditionalFormatting sqref="I60:I62">
    <cfRule type="cellIs" dxfId="2155" priority="355" operator="greaterThan">
      <formula>0.03</formula>
    </cfRule>
    <cfRule type="cellIs" dxfId="2154" priority="356" stopIfTrue="1" operator="lessThan">
      <formula>-0.03</formula>
    </cfRule>
  </conditionalFormatting>
  <conditionalFormatting sqref="I60:I62">
    <cfRule type="cellIs" dxfId="2153" priority="353" operator="greaterThan">
      <formula>0.03</formula>
    </cfRule>
    <cfRule type="cellIs" dxfId="2152" priority="354" stopIfTrue="1" operator="lessThan">
      <formula>-0.03</formula>
    </cfRule>
  </conditionalFormatting>
  <conditionalFormatting sqref="I60:I62">
    <cfRule type="cellIs" dxfId="2151" priority="351" operator="greaterThan">
      <formula>0.03</formula>
    </cfRule>
    <cfRule type="cellIs" dxfId="2150" priority="352" stopIfTrue="1" operator="lessThan">
      <formula>-0.03</formula>
    </cfRule>
  </conditionalFormatting>
  <conditionalFormatting sqref="I59">
    <cfRule type="cellIs" dxfId="2149" priority="349" operator="greaterThan">
      <formula>0.03</formula>
    </cfRule>
    <cfRule type="cellIs" dxfId="2148" priority="350" stopIfTrue="1" operator="lessThan">
      <formula>-0.03</formula>
    </cfRule>
  </conditionalFormatting>
  <conditionalFormatting sqref="I59">
    <cfRule type="cellIs" dxfId="2147" priority="347" operator="greaterThan">
      <formula>0.03</formula>
    </cfRule>
    <cfRule type="cellIs" dxfId="2146" priority="348" stopIfTrue="1" operator="lessThan">
      <formula>-0.03</formula>
    </cfRule>
  </conditionalFormatting>
  <conditionalFormatting sqref="I59">
    <cfRule type="cellIs" dxfId="2145" priority="345" operator="greaterThan">
      <formula>0.03</formula>
    </cfRule>
    <cfRule type="cellIs" dxfId="2144" priority="346" stopIfTrue="1" operator="lessThan">
      <formula>-0.03</formula>
    </cfRule>
  </conditionalFormatting>
  <conditionalFormatting sqref="I59">
    <cfRule type="cellIs" dxfId="2143" priority="343" operator="greaterThan">
      <formula>0.03</formula>
    </cfRule>
    <cfRule type="cellIs" dxfId="2142" priority="344" stopIfTrue="1" operator="lessThan">
      <formula>-0.03</formula>
    </cfRule>
  </conditionalFormatting>
  <conditionalFormatting sqref="I59">
    <cfRule type="cellIs" dxfId="2141" priority="341" operator="greaterThan">
      <formula>0.03</formula>
    </cfRule>
    <cfRule type="cellIs" dxfId="2140" priority="342" stopIfTrue="1" operator="lessThan">
      <formula>-0.03</formula>
    </cfRule>
  </conditionalFormatting>
  <conditionalFormatting sqref="I4:I6 I8:I10">
    <cfRule type="cellIs" dxfId="2139" priority="339" operator="greaterThan">
      <formula>0.03</formula>
    </cfRule>
    <cfRule type="cellIs" dxfId="2138" priority="340" stopIfTrue="1" operator="lessThan">
      <formula>-0.03</formula>
    </cfRule>
  </conditionalFormatting>
  <conditionalFormatting sqref="I4:I6 I8:I10">
    <cfRule type="cellIs" dxfId="2137" priority="337" operator="greaterThan">
      <formula>0.03</formula>
    </cfRule>
    <cfRule type="cellIs" dxfId="2136" priority="338" stopIfTrue="1" operator="lessThan">
      <formula>-0.03</formula>
    </cfRule>
  </conditionalFormatting>
  <conditionalFormatting sqref="I4:I6 I8:I10">
    <cfRule type="cellIs" dxfId="2135" priority="335" operator="greaterThan">
      <formula>0.03</formula>
    </cfRule>
    <cfRule type="cellIs" dxfId="2134" priority="336" stopIfTrue="1" operator="lessThan">
      <formula>-0.03</formula>
    </cfRule>
  </conditionalFormatting>
  <conditionalFormatting sqref="I4:I6 I8:I10">
    <cfRule type="cellIs" dxfId="2133" priority="331" operator="greaterThan">
      <formula>0.03</formula>
    </cfRule>
    <cfRule type="cellIs" dxfId="2132" priority="332" stopIfTrue="1" operator="lessThan">
      <formula>-0.03</formula>
    </cfRule>
  </conditionalFormatting>
  <conditionalFormatting sqref="I4:I6 I8:I10">
    <cfRule type="cellIs" dxfId="2131" priority="333" operator="greaterThan">
      <formula>0.03</formula>
    </cfRule>
    <cfRule type="cellIs" dxfId="2130" priority="334" stopIfTrue="1" operator="lessThan">
      <formula>-0.03</formula>
    </cfRule>
  </conditionalFormatting>
  <conditionalFormatting sqref="I3">
    <cfRule type="cellIs" dxfId="2129" priority="329" operator="greaterThan">
      <formula>0.03</formula>
    </cfRule>
    <cfRule type="cellIs" dxfId="2128" priority="330" stopIfTrue="1" operator="lessThan">
      <formula>-0.03</formula>
    </cfRule>
  </conditionalFormatting>
  <conditionalFormatting sqref="I3">
    <cfRule type="cellIs" dxfId="2127" priority="327" operator="greaterThan">
      <formula>0.03</formula>
    </cfRule>
    <cfRule type="cellIs" dxfId="2126" priority="328" stopIfTrue="1" operator="lessThan">
      <formula>-0.03</formula>
    </cfRule>
  </conditionalFormatting>
  <conditionalFormatting sqref="I3">
    <cfRule type="cellIs" dxfId="2125" priority="325" operator="greaterThan">
      <formula>0.03</formula>
    </cfRule>
    <cfRule type="cellIs" dxfId="2124" priority="326" stopIfTrue="1" operator="lessThan">
      <formula>-0.03</formula>
    </cfRule>
  </conditionalFormatting>
  <conditionalFormatting sqref="I3">
    <cfRule type="cellIs" dxfId="2123" priority="323" operator="greaterThan">
      <formula>0.03</formula>
    </cfRule>
    <cfRule type="cellIs" dxfId="2122" priority="324" stopIfTrue="1" operator="lessThan">
      <formula>-0.03</formula>
    </cfRule>
  </conditionalFormatting>
  <conditionalFormatting sqref="I3">
    <cfRule type="cellIs" dxfId="2121" priority="321" operator="greaterThan">
      <formula>0.03</formula>
    </cfRule>
    <cfRule type="cellIs" dxfId="2120" priority="322" stopIfTrue="1" operator="lessThan">
      <formula>-0.03</formula>
    </cfRule>
  </conditionalFormatting>
  <conditionalFormatting sqref="I7">
    <cfRule type="cellIs" dxfId="2119" priority="319" operator="greaterThan">
      <formula>0.03</formula>
    </cfRule>
    <cfRule type="cellIs" dxfId="2118" priority="320" stopIfTrue="1" operator="lessThan">
      <formula>-0.03</formula>
    </cfRule>
  </conditionalFormatting>
  <conditionalFormatting sqref="I7">
    <cfRule type="cellIs" dxfId="2117" priority="317" operator="greaterThan">
      <formula>0.03</formula>
    </cfRule>
    <cfRule type="cellIs" dxfId="2116" priority="318" stopIfTrue="1" operator="lessThan">
      <formula>-0.03</formula>
    </cfRule>
  </conditionalFormatting>
  <conditionalFormatting sqref="I7">
    <cfRule type="cellIs" dxfId="2115" priority="315" operator="greaterThan">
      <formula>0.03</formula>
    </cfRule>
    <cfRule type="cellIs" dxfId="2114" priority="316" stopIfTrue="1" operator="lessThan">
      <formula>-0.03</formula>
    </cfRule>
  </conditionalFormatting>
  <conditionalFormatting sqref="I7">
    <cfRule type="cellIs" dxfId="2113" priority="313" operator="greaterThan">
      <formula>0.03</formula>
    </cfRule>
    <cfRule type="cellIs" dxfId="2112" priority="314" stopIfTrue="1" operator="lessThan">
      <formula>-0.03</formula>
    </cfRule>
  </conditionalFormatting>
  <conditionalFormatting sqref="I7">
    <cfRule type="cellIs" dxfId="2111" priority="311" operator="greaterThan">
      <formula>0.03</formula>
    </cfRule>
    <cfRule type="cellIs" dxfId="2110" priority="312" stopIfTrue="1" operator="lessThan">
      <formula>-0.03</formula>
    </cfRule>
  </conditionalFormatting>
  <conditionalFormatting sqref="I15">
    <cfRule type="cellIs" dxfId="2109" priority="309" operator="greaterThan">
      <formula>0.03</formula>
    </cfRule>
    <cfRule type="cellIs" dxfId="2108" priority="310" stopIfTrue="1" operator="lessThan">
      <formula>-0.03</formula>
    </cfRule>
  </conditionalFormatting>
  <conditionalFormatting sqref="I15">
    <cfRule type="cellIs" dxfId="2107" priority="307" operator="greaterThan">
      <formula>0.03</formula>
    </cfRule>
    <cfRule type="cellIs" dxfId="2106" priority="308" stopIfTrue="1" operator="lessThan">
      <formula>-0.03</formula>
    </cfRule>
  </conditionalFormatting>
  <conditionalFormatting sqref="I15">
    <cfRule type="cellIs" dxfId="2105" priority="305" operator="greaterThan">
      <formula>0.03</formula>
    </cfRule>
    <cfRule type="cellIs" dxfId="2104" priority="306" stopIfTrue="1" operator="lessThan">
      <formula>-0.03</formula>
    </cfRule>
  </conditionalFormatting>
  <conditionalFormatting sqref="I15">
    <cfRule type="cellIs" dxfId="2103" priority="303" operator="greaterThan">
      <formula>0.03</formula>
    </cfRule>
    <cfRule type="cellIs" dxfId="2102" priority="304" stopIfTrue="1" operator="lessThan">
      <formula>-0.03</formula>
    </cfRule>
  </conditionalFormatting>
  <conditionalFormatting sqref="I15">
    <cfRule type="cellIs" dxfId="2101" priority="301" operator="greaterThan">
      <formula>0.03</formula>
    </cfRule>
    <cfRule type="cellIs" dxfId="2100" priority="302" stopIfTrue="1" operator="lessThan">
      <formula>-0.03</formula>
    </cfRule>
  </conditionalFormatting>
  <conditionalFormatting sqref="I72:I74">
    <cfRule type="cellIs" dxfId="2099" priority="299" operator="greaterThan">
      <formula>0.03</formula>
    </cfRule>
    <cfRule type="cellIs" dxfId="2098" priority="300" stopIfTrue="1" operator="lessThan">
      <formula>-0.03</formula>
    </cfRule>
  </conditionalFormatting>
  <conditionalFormatting sqref="I72:I74">
    <cfRule type="cellIs" dxfId="2097" priority="297" operator="greaterThan">
      <formula>0.03</formula>
    </cfRule>
    <cfRule type="cellIs" dxfId="2096" priority="298" stopIfTrue="1" operator="lessThan">
      <formula>-0.03</formula>
    </cfRule>
  </conditionalFormatting>
  <conditionalFormatting sqref="I72:I74">
    <cfRule type="cellIs" dxfId="2095" priority="295" operator="greaterThan">
      <formula>0.03</formula>
    </cfRule>
    <cfRule type="cellIs" dxfId="2094" priority="296" stopIfTrue="1" operator="lessThan">
      <formula>-0.03</formula>
    </cfRule>
  </conditionalFormatting>
  <conditionalFormatting sqref="I72:I74">
    <cfRule type="cellIs" dxfId="2093" priority="293" operator="greaterThan">
      <formula>0.03</formula>
    </cfRule>
    <cfRule type="cellIs" dxfId="2092" priority="294" stopIfTrue="1" operator="lessThan">
      <formula>-0.03</formula>
    </cfRule>
  </conditionalFormatting>
  <conditionalFormatting sqref="I72:I74">
    <cfRule type="cellIs" dxfId="2091" priority="291" operator="greaterThan">
      <formula>0.03</formula>
    </cfRule>
    <cfRule type="cellIs" dxfId="2090" priority="292" stopIfTrue="1" operator="lessThan">
      <formula>-0.03</formula>
    </cfRule>
  </conditionalFormatting>
  <conditionalFormatting sqref="I68:I70">
    <cfRule type="cellIs" dxfId="2089" priority="289" operator="greaterThan">
      <formula>0.03</formula>
    </cfRule>
    <cfRule type="cellIs" dxfId="2088" priority="290" stopIfTrue="1" operator="lessThan">
      <formula>-0.03</formula>
    </cfRule>
  </conditionalFormatting>
  <conditionalFormatting sqref="I68:I70">
    <cfRule type="cellIs" dxfId="2087" priority="287" operator="greaterThan">
      <formula>0.03</formula>
    </cfRule>
    <cfRule type="cellIs" dxfId="2086" priority="288" stopIfTrue="1" operator="lessThan">
      <formula>-0.03</formula>
    </cfRule>
  </conditionalFormatting>
  <conditionalFormatting sqref="I71">
    <cfRule type="cellIs" dxfId="2085" priority="269" operator="greaterThan">
      <formula>0.03</formula>
    </cfRule>
    <cfRule type="cellIs" dxfId="2084" priority="270" stopIfTrue="1" operator="lessThan">
      <formula>-0.03</formula>
    </cfRule>
  </conditionalFormatting>
  <conditionalFormatting sqref="I71">
    <cfRule type="cellIs" dxfId="2083" priority="267" operator="greaterThan">
      <formula>0.03</formula>
    </cfRule>
    <cfRule type="cellIs" dxfId="2082" priority="268" stopIfTrue="1" operator="lessThan">
      <formula>-0.03</formula>
    </cfRule>
  </conditionalFormatting>
  <conditionalFormatting sqref="I71">
    <cfRule type="cellIs" dxfId="2081" priority="265" operator="greaterThan">
      <formula>0.03</formula>
    </cfRule>
    <cfRule type="cellIs" dxfId="2080" priority="266" stopIfTrue="1" operator="lessThan">
      <formula>-0.03</formula>
    </cfRule>
  </conditionalFormatting>
  <conditionalFormatting sqref="I71">
    <cfRule type="cellIs" dxfId="2079" priority="263" operator="greaterThan">
      <formula>0.03</formula>
    </cfRule>
    <cfRule type="cellIs" dxfId="2078" priority="264" stopIfTrue="1" operator="lessThan">
      <formula>-0.03</formula>
    </cfRule>
  </conditionalFormatting>
  <conditionalFormatting sqref="I71">
    <cfRule type="cellIs" dxfId="2077" priority="261" operator="greaterThan">
      <formula>0.03</formula>
    </cfRule>
    <cfRule type="cellIs" dxfId="2076" priority="262" stopIfTrue="1" operator="lessThan">
      <formula>-0.03</formula>
    </cfRule>
  </conditionalFormatting>
  <conditionalFormatting sqref="I68:I70">
    <cfRule type="cellIs" dxfId="2075" priority="285" operator="greaterThan">
      <formula>0.03</formula>
    </cfRule>
    <cfRule type="cellIs" dxfId="2074" priority="286" stopIfTrue="1" operator="lessThan">
      <formula>-0.03</formula>
    </cfRule>
  </conditionalFormatting>
  <conditionalFormatting sqref="I68:I70">
    <cfRule type="cellIs" dxfId="2073" priority="281" operator="greaterThan">
      <formula>0.03</formula>
    </cfRule>
    <cfRule type="cellIs" dxfId="2072" priority="282" stopIfTrue="1" operator="lessThan">
      <formula>-0.03</formula>
    </cfRule>
  </conditionalFormatting>
  <conditionalFormatting sqref="I68:I70">
    <cfRule type="cellIs" dxfId="2071" priority="283" operator="greaterThan">
      <formula>0.03</formula>
    </cfRule>
    <cfRule type="cellIs" dxfId="2070" priority="284" stopIfTrue="1" operator="lessThan">
      <formula>-0.03</formula>
    </cfRule>
  </conditionalFormatting>
  <conditionalFormatting sqref="I67">
    <cfRule type="cellIs" dxfId="2069" priority="279" operator="greaterThan">
      <formula>0.03</formula>
    </cfRule>
    <cfRule type="cellIs" dxfId="2068" priority="280" stopIfTrue="1" operator="lessThan">
      <formula>-0.03</formula>
    </cfRule>
  </conditionalFormatting>
  <conditionalFormatting sqref="I67">
    <cfRule type="cellIs" dxfId="2067" priority="277" operator="greaterThan">
      <formula>0.03</formula>
    </cfRule>
    <cfRule type="cellIs" dxfId="2066" priority="278" stopIfTrue="1" operator="lessThan">
      <formula>-0.03</formula>
    </cfRule>
  </conditionalFormatting>
  <conditionalFormatting sqref="I67">
    <cfRule type="cellIs" dxfId="2065" priority="275" operator="greaterThan">
      <formula>0.03</formula>
    </cfRule>
    <cfRule type="cellIs" dxfId="2064" priority="276" stopIfTrue="1" operator="lessThan">
      <formula>-0.03</formula>
    </cfRule>
  </conditionalFormatting>
  <conditionalFormatting sqref="I67">
    <cfRule type="cellIs" dxfId="2063" priority="273" operator="greaterThan">
      <formula>0.03</formula>
    </cfRule>
    <cfRule type="cellIs" dxfId="2062" priority="274" stopIfTrue="1" operator="lessThan">
      <formula>-0.03</formula>
    </cfRule>
  </conditionalFormatting>
  <conditionalFormatting sqref="I67">
    <cfRule type="cellIs" dxfId="2061" priority="271" operator="greaterThan">
      <formula>0.03</formula>
    </cfRule>
    <cfRule type="cellIs" dxfId="2060" priority="272" stopIfTrue="1" operator="lessThan">
      <formula>-0.03</formula>
    </cfRule>
  </conditionalFormatting>
  <conditionalFormatting sqref="I92:I94">
    <cfRule type="cellIs" dxfId="2059" priority="259" operator="greaterThan">
      <formula>0.03</formula>
    </cfRule>
    <cfRule type="cellIs" dxfId="2058" priority="260" stopIfTrue="1" operator="lessThan">
      <formula>-0.03</formula>
    </cfRule>
  </conditionalFormatting>
  <conditionalFormatting sqref="I92:I94">
    <cfRule type="cellIs" dxfId="2057" priority="257" operator="greaterThan">
      <formula>0.03</formula>
    </cfRule>
    <cfRule type="cellIs" dxfId="2056" priority="258" stopIfTrue="1" operator="lessThan">
      <formula>-0.03</formula>
    </cfRule>
  </conditionalFormatting>
  <conditionalFormatting sqref="I92:I94">
    <cfRule type="cellIs" dxfId="2055" priority="255" operator="greaterThan">
      <formula>0.03</formula>
    </cfRule>
    <cfRule type="cellIs" dxfId="2054" priority="256" stopIfTrue="1" operator="lessThan">
      <formula>-0.03</formula>
    </cfRule>
  </conditionalFormatting>
  <conditionalFormatting sqref="I92:I94">
    <cfRule type="cellIs" dxfId="2053" priority="253" operator="greaterThan">
      <formula>0.03</formula>
    </cfRule>
    <cfRule type="cellIs" dxfId="2052" priority="254" stopIfTrue="1" operator="lessThan">
      <formula>-0.03</formula>
    </cfRule>
  </conditionalFormatting>
  <conditionalFormatting sqref="I92:I94">
    <cfRule type="cellIs" dxfId="2051" priority="251" operator="greaterThan">
      <formula>0.03</formula>
    </cfRule>
    <cfRule type="cellIs" dxfId="2050" priority="252" stopIfTrue="1" operator="lessThan">
      <formula>-0.03</formula>
    </cfRule>
  </conditionalFormatting>
  <conditionalFormatting sqref="I84:I86">
    <cfRule type="cellIs" dxfId="2049" priority="249" operator="greaterThan">
      <formula>0.03</formula>
    </cfRule>
    <cfRule type="cellIs" dxfId="2048" priority="250" stopIfTrue="1" operator="lessThan">
      <formula>-0.03</formula>
    </cfRule>
  </conditionalFormatting>
  <conditionalFormatting sqref="I84:I86">
    <cfRule type="cellIs" dxfId="2047" priority="247" operator="greaterThan">
      <formula>0.03</formula>
    </cfRule>
    <cfRule type="cellIs" dxfId="2046" priority="248" stopIfTrue="1" operator="lessThan">
      <formula>-0.03</formula>
    </cfRule>
  </conditionalFormatting>
  <conditionalFormatting sqref="I91">
    <cfRule type="cellIs" dxfId="2045" priority="229" operator="greaterThan">
      <formula>0.03</formula>
    </cfRule>
    <cfRule type="cellIs" dxfId="2044" priority="230" stopIfTrue="1" operator="lessThan">
      <formula>-0.03</formula>
    </cfRule>
  </conditionalFormatting>
  <conditionalFormatting sqref="I91">
    <cfRule type="cellIs" dxfId="2043" priority="227" operator="greaterThan">
      <formula>0.03</formula>
    </cfRule>
    <cfRule type="cellIs" dxfId="2042" priority="228" stopIfTrue="1" operator="lessThan">
      <formula>-0.03</formula>
    </cfRule>
  </conditionalFormatting>
  <conditionalFormatting sqref="I91">
    <cfRule type="cellIs" dxfId="2041" priority="225" operator="greaterThan">
      <formula>0.03</formula>
    </cfRule>
    <cfRule type="cellIs" dxfId="2040" priority="226" stopIfTrue="1" operator="lessThan">
      <formula>-0.03</formula>
    </cfRule>
  </conditionalFormatting>
  <conditionalFormatting sqref="I91">
    <cfRule type="cellIs" dxfId="2039" priority="223" operator="greaterThan">
      <formula>0.03</formula>
    </cfRule>
    <cfRule type="cellIs" dxfId="2038" priority="224" stopIfTrue="1" operator="lessThan">
      <formula>-0.03</formula>
    </cfRule>
  </conditionalFormatting>
  <conditionalFormatting sqref="I91">
    <cfRule type="cellIs" dxfId="2037" priority="221" operator="greaterThan">
      <formula>0.03</formula>
    </cfRule>
    <cfRule type="cellIs" dxfId="2036" priority="222" stopIfTrue="1" operator="lessThan">
      <formula>-0.03</formula>
    </cfRule>
  </conditionalFormatting>
  <conditionalFormatting sqref="I84:I86">
    <cfRule type="cellIs" dxfId="2035" priority="245" operator="greaterThan">
      <formula>0.03</formula>
    </cfRule>
    <cfRule type="cellIs" dxfId="2034" priority="246" stopIfTrue="1" operator="lessThan">
      <formula>-0.03</formula>
    </cfRule>
  </conditionalFormatting>
  <conditionalFormatting sqref="I84:I86">
    <cfRule type="cellIs" dxfId="2033" priority="241" operator="greaterThan">
      <formula>0.03</formula>
    </cfRule>
    <cfRule type="cellIs" dxfId="2032" priority="242" stopIfTrue="1" operator="lessThan">
      <formula>-0.03</formula>
    </cfRule>
  </conditionalFormatting>
  <conditionalFormatting sqref="I84:I86">
    <cfRule type="cellIs" dxfId="2031" priority="243" operator="greaterThan">
      <formula>0.03</formula>
    </cfRule>
    <cfRule type="cellIs" dxfId="2030" priority="244" stopIfTrue="1" operator="lessThan">
      <formula>-0.03</formula>
    </cfRule>
  </conditionalFormatting>
  <conditionalFormatting sqref="I83">
    <cfRule type="cellIs" dxfId="2029" priority="239" operator="greaterThan">
      <formula>0.03</formula>
    </cfRule>
    <cfRule type="cellIs" dxfId="2028" priority="240" stopIfTrue="1" operator="lessThan">
      <formula>-0.03</formula>
    </cfRule>
  </conditionalFormatting>
  <conditionalFormatting sqref="I83">
    <cfRule type="cellIs" dxfId="2027" priority="237" operator="greaterThan">
      <formula>0.03</formula>
    </cfRule>
    <cfRule type="cellIs" dxfId="2026" priority="238" stopIfTrue="1" operator="lessThan">
      <formula>-0.03</formula>
    </cfRule>
  </conditionalFormatting>
  <conditionalFormatting sqref="I83">
    <cfRule type="cellIs" dxfId="2025" priority="235" operator="greaterThan">
      <formula>0.03</formula>
    </cfRule>
    <cfRule type="cellIs" dxfId="2024" priority="236" stopIfTrue="1" operator="lessThan">
      <formula>-0.03</formula>
    </cfRule>
  </conditionalFormatting>
  <conditionalFormatting sqref="I83">
    <cfRule type="cellIs" dxfId="2023" priority="233" operator="greaterThan">
      <formula>0.03</formula>
    </cfRule>
    <cfRule type="cellIs" dxfId="2022" priority="234" stopIfTrue="1" operator="lessThan">
      <formula>-0.03</formula>
    </cfRule>
  </conditionalFormatting>
  <conditionalFormatting sqref="I83">
    <cfRule type="cellIs" dxfId="2021" priority="231" operator="greaterThan">
      <formula>0.03</formula>
    </cfRule>
    <cfRule type="cellIs" dxfId="2020" priority="232" stopIfTrue="1" operator="lessThan">
      <formula>-0.03</formula>
    </cfRule>
  </conditionalFormatting>
  <conditionalFormatting sqref="I80:I82">
    <cfRule type="cellIs" dxfId="2019" priority="219" operator="greaterThan">
      <formula>0.03</formula>
    </cfRule>
    <cfRule type="cellIs" dxfId="2018" priority="220" stopIfTrue="1" operator="lessThan">
      <formula>-0.03</formula>
    </cfRule>
  </conditionalFormatting>
  <conditionalFormatting sqref="I80:I82">
    <cfRule type="cellIs" dxfId="2017" priority="217" operator="greaterThan">
      <formula>0.03</formula>
    </cfRule>
    <cfRule type="cellIs" dxfId="2016" priority="218" stopIfTrue="1" operator="lessThan">
      <formula>-0.03</formula>
    </cfRule>
  </conditionalFormatting>
  <conditionalFormatting sqref="I80:I82">
    <cfRule type="cellIs" dxfId="2015" priority="215" operator="greaterThan">
      <formula>0.03</formula>
    </cfRule>
    <cfRule type="cellIs" dxfId="2014" priority="216" stopIfTrue="1" operator="lessThan">
      <formula>-0.03</formula>
    </cfRule>
  </conditionalFormatting>
  <conditionalFormatting sqref="I80:I82">
    <cfRule type="cellIs" dxfId="2013" priority="213" operator="greaterThan">
      <formula>0.03</formula>
    </cfRule>
    <cfRule type="cellIs" dxfId="2012" priority="214" stopIfTrue="1" operator="lessThan">
      <formula>-0.03</formula>
    </cfRule>
  </conditionalFormatting>
  <conditionalFormatting sqref="I80:I82">
    <cfRule type="cellIs" dxfId="2011" priority="211" operator="greaterThan">
      <formula>0.03</formula>
    </cfRule>
    <cfRule type="cellIs" dxfId="2010" priority="212" stopIfTrue="1" operator="lessThan">
      <formula>-0.03</formula>
    </cfRule>
  </conditionalFormatting>
  <conditionalFormatting sqref="I76:I78">
    <cfRule type="cellIs" dxfId="2009" priority="209" operator="greaterThan">
      <formula>0.03</formula>
    </cfRule>
    <cfRule type="cellIs" dxfId="2008" priority="210" stopIfTrue="1" operator="lessThan">
      <formula>-0.03</formula>
    </cfRule>
  </conditionalFormatting>
  <conditionalFormatting sqref="I76:I78">
    <cfRule type="cellIs" dxfId="2007" priority="207" operator="greaterThan">
      <formula>0.03</formula>
    </cfRule>
    <cfRule type="cellIs" dxfId="2006" priority="208" stopIfTrue="1" operator="lessThan">
      <formula>-0.03</formula>
    </cfRule>
  </conditionalFormatting>
  <conditionalFormatting sqref="I79">
    <cfRule type="cellIs" dxfId="2005" priority="189" operator="greaterThan">
      <formula>0.03</formula>
    </cfRule>
    <cfRule type="cellIs" dxfId="2004" priority="190" stopIfTrue="1" operator="lessThan">
      <formula>-0.03</formula>
    </cfRule>
  </conditionalFormatting>
  <conditionalFormatting sqref="I79">
    <cfRule type="cellIs" dxfId="2003" priority="187" operator="greaterThan">
      <formula>0.03</formula>
    </cfRule>
    <cfRule type="cellIs" dxfId="2002" priority="188" stopIfTrue="1" operator="lessThan">
      <formula>-0.03</formula>
    </cfRule>
  </conditionalFormatting>
  <conditionalFormatting sqref="I79">
    <cfRule type="cellIs" dxfId="2001" priority="185" operator="greaterThan">
      <formula>0.03</formula>
    </cfRule>
    <cfRule type="cellIs" dxfId="2000" priority="186" stopIfTrue="1" operator="lessThan">
      <formula>-0.03</formula>
    </cfRule>
  </conditionalFormatting>
  <conditionalFormatting sqref="I79">
    <cfRule type="cellIs" dxfId="1999" priority="183" operator="greaterThan">
      <formula>0.03</formula>
    </cfRule>
    <cfRule type="cellIs" dxfId="1998" priority="184" stopIfTrue="1" operator="lessThan">
      <formula>-0.03</formula>
    </cfRule>
  </conditionalFormatting>
  <conditionalFormatting sqref="I79">
    <cfRule type="cellIs" dxfId="1997" priority="181" operator="greaterThan">
      <formula>0.03</formula>
    </cfRule>
    <cfRule type="cellIs" dxfId="1996" priority="182" stopIfTrue="1" operator="lessThan">
      <formula>-0.03</formula>
    </cfRule>
  </conditionalFormatting>
  <conditionalFormatting sqref="I76:I78">
    <cfRule type="cellIs" dxfId="1995" priority="205" operator="greaterThan">
      <formula>0.03</formula>
    </cfRule>
    <cfRule type="cellIs" dxfId="1994" priority="206" stopIfTrue="1" operator="lessThan">
      <formula>-0.03</formula>
    </cfRule>
  </conditionalFormatting>
  <conditionalFormatting sqref="I76:I78">
    <cfRule type="cellIs" dxfId="1993" priority="201" operator="greaterThan">
      <formula>0.03</formula>
    </cfRule>
    <cfRule type="cellIs" dxfId="1992" priority="202" stopIfTrue="1" operator="lessThan">
      <formula>-0.03</formula>
    </cfRule>
  </conditionalFormatting>
  <conditionalFormatting sqref="I76:I78">
    <cfRule type="cellIs" dxfId="1991" priority="203" operator="greaterThan">
      <formula>0.03</formula>
    </cfRule>
    <cfRule type="cellIs" dxfId="1990" priority="204" stopIfTrue="1" operator="lessThan">
      <formula>-0.03</formula>
    </cfRule>
  </conditionalFormatting>
  <conditionalFormatting sqref="I75">
    <cfRule type="cellIs" dxfId="1989" priority="199" operator="greaterThan">
      <formula>0.03</formula>
    </cfRule>
    <cfRule type="cellIs" dxfId="1988" priority="200" stopIfTrue="1" operator="lessThan">
      <formula>-0.03</formula>
    </cfRule>
  </conditionalFormatting>
  <conditionalFormatting sqref="I75">
    <cfRule type="cellIs" dxfId="1987" priority="197" operator="greaterThan">
      <formula>0.03</formula>
    </cfRule>
    <cfRule type="cellIs" dxfId="1986" priority="198" stopIfTrue="1" operator="lessThan">
      <formula>-0.03</formula>
    </cfRule>
  </conditionalFormatting>
  <conditionalFormatting sqref="I75">
    <cfRule type="cellIs" dxfId="1985" priority="195" operator="greaterThan">
      <formula>0.03</formula>
    </cfRule>
    <cfRule type="cellIs" dxfId="1984" priority="196" stopIfTrue="1" operator="lessThan">
      <formula>-0.03</formula>
    </cfRule>
  </conditionalFormatting>
  <conditionalFormatting sqref="I75">
    <cfRule type="cellIs" dxfId="1983" priority="193" operator="greaterThan">
      <formula>0.03</formula>
    </cfRule>
    <cfRule type="cellIs" dxfId="1982" priority="194" stopIfTrue="1" operator="lessThan">
      <formula>-0.03</formula>
    </cfRule>
  </conditionalFormatting>
  <conditionalFormatting sqref="I75">
    <cfRule type="cellIs" dxfId="1981" priority="191" operator="greaterThan">
      <formula>0.03</formula>
    </cfRule>
    <cfRule type="cellIs" dxfId="1980" priority="192" stopIfTrue="1" operator="lessThan">
      <formula>-0.03</formula>
    </cfRule>
  </conditionalFormatting>
  <conditionalFormatting sqref="I88:I90">
    <cfRule type="cellIs" dxfId="1979" priority="179" operator="greaterThan">
      <formula>0.03</formula>
    </cfRule>
    <cfRule type="cellIs" dxfId="1978" priority="180" stopIfTrue="1" operator="lessThan">
      <formula>-0.03</formula>
    </cfRule>
  </conditionalFormatting>
  <conditionalFormatting sqref="I88:I90">
    <cfRule type="cellIs" dxfId="1977" priority="177" operator="greaterThan">
      <formula>0.03</formula>
    </cfRule>
    <cfRule type="cellIs" dxfId="1976" priority="178" stopIfTrue="1" operator="lessThan">
      <formula>-0.03</formula>
    </cfRule>
  </conditionalFormatting>
  <conditionalFormatting sqref="I88:I90">
    <cfRule type="cellIs" dxfId="1975" priority="175" operator="greaterThan">
      <formula>0.03</formula>
    </cfRule>
    <cfRule type="cellIs" dxfId="1974" priority="176" stopIfTrue="1" operator="lessThan">
      <formula>-0.03</formula>
    </cfRule>
  </conditionalFormatting>
  <conditionalFormatting sqref="I88:I90">
    <cfRule type="cellIs" dxfId="1973" priority="173" operator="greaterThan">
      <formula>0.03</formula>
    </cfRule>
    <cfRule type="cellIs" dxfId="1972" priority="174" stopIfTrue="1" operator="lessThan">
      <formula>-0.03</formula>
    </cfRule>
  </conditionalFormatting>
  <conditionalFormatting sqref="I88:I90">
    <cfRule type="cellIs" dxfId="1971" priority="171" operator="greaterThan">
      <formula>0.03</formula>
    </cfRule>
    <cfRule type="cellIs" dxfId="1970" priority="172" stopIfTrue="1" operator="lessThan">
      <formula>-0.03</formula>
    </cfRule>
  </conditionalFormatting>
  <conditionalFormatting sqref="I87">
    <cfRule type="cellIs" dxfId="1969" priority="169" operator="greaterThan">
      <formula>0.03</formula>
    </cfRule>
    <cfRule type="cellIs" dxfId="1968" priority="170" stopIfTrue="1" operator="lessThan">
      <formula>-0.03</formula>
    </cfRule>
  </conditionalFormatting>
  <conditionalFormatting sqref="I87">
    <cfRule type="cellIs" dxfId="1967" priority="167" operator="greaterThan">
      <formula>0.03</formula>
    </cfRule>
    <cfRule type="cellIs" dxfId="1966" priority="168" stopIfTrue="1" operator="lessThan">
      <formula>-0.03</formula>
    </cfRule>
  </conditionalFormatting>
  <conditionalFormatting sqref="I87">
    <cfRule type="cellIs" dxfId="1965" priority="165" operator="greaterThan">
      <formula>0.03</formula>
    </cfRule>
    <cfRule type="cellIs" dxfId="1964" priority="166" stopIfTrue="1" operator="lessThan">
      <formula>-0.03</formula>
    </cfRule>
  </conditionalFormatting>
  <conditionalFormatting sqref="I87">
    <cfRule type="cellIs" dxfId="1963" priority="163" operator="greaterThan">
      <formula>0.03</formula>
    </cfRule>
    <cfRule type="cellIs" dxfId="1962" priority="164" stopIfTrue="1" operator="lessThan">
      <formula>-0.03</formula>
    </cfRule>
  </conditionalFormatting>
  <conditionalFormatting sqref="I87">
    <cfRule type="cellIs" dxfId="1961" priority="161" operator="greaterThan">
      <formula>0.03</formula>
    </cfRule>
    <cfRule type="cellIs" dxfId="1960" priority="162" stopIfTrue="1" operator="lessThan">
      <formula>-0.03</formula>
    </cfRule>
  </conditionalFormatting>
  <conditionalFormatting sqref="I100:I102">
    <cfRule type="cellIs" dxfId="1959" priority="159" operator="greaterThan">
      <formula>0.03</formula>
    </cfRule>
    <cfRule type="cellIs" dxfId="1958" priority="160" stopIfTrue="1" operator="lessThan">
      <formula>-0.03</formula>
    </cfRule>
  </conditionalFormatting>
  <conditionalFormatting sqref="I100:I102">
    <cfRule type="cellIs" dxfId="1957" priority="157" operator="greaterThan">
      <formula>0.03</formula>
    </cfRule>
    <cfRule type="cellIs" dxfId="1956" priority="158" stopIfTrue="1" operator="lessThan">
      <formula>-0.03</formula>
    </cfRule>
  </conditionalFormatting>
  <conditionalFormatting sqref="I100:I102">
    <cfRule type="cellIs" dxfId="1955" priority="155" operator="greaterThan">
      <formula>0.03</formula>
    </cfRule>
    <cfRule type="cellIs" dxfId="1954" priority="156" stopIfTrue="1" operator="lessThan">
      <formula>-0.03</formula>
    </cfRule>
  </conditionalFormatting>
  <conditionalFormatting sqref="I100:I102">
    <cfRule type="cellIs" dxfId="1953" priority="153" operator="greaterThan">
      <formula>0.03</formula>
    </cfRule>
    <cfRule type="cellIs" dxfId="1952" priority="154" stopIfTrue="1" operator="lessThan">
      <formula>-0.03</formula>
    </cfRule>
  </conditionalFormatting>
  <conditionalFormatting sqref="I100:I102">
    <cfRule type="cellIs" dxfId="1951" priority="151" operator="greaterThan">
      <formula>0.03</formula>
    </cfRule>
    <cfRule type="cellIs" dxfId="1950" priority="152" stopIfTrue="1" operator="lessThan">
      <formula>-0.03</formula>
    </cfRule>
  </conditionalFormatting>
  <conditionalFormatting sqref="I96:I98">
    <cfRule type="cellIs" dxfId="1949" priority="149" operator="greaterThan">
      <formula>0.03</formula>
    </cfRule>
    <cfRule type="cellIs" dxfId="1948" priority="150" stopIfTrue="1" operator="lessThan">
      <formula>-0.03</formula>
    </cfRule>
  </conditionalFormatting>
  <conditionalFormatting sqref="I96:I98">
    <cfRule type="cellIs" dxfId="1947" priority="147" operator="greaterThan">
      <formula>0.03</formula>
    </cfRule>
    <cfRule type="cellIs" dxfId="1946" priority="148" stopIfTrue="1" operator="lessThan">
      <formula>-0.03</formula>
    </cfRule>
  </conditionalFormatting>
  <conditionalFormatting sqref="I99">
    <cfRule type="cellIs" dxfId="1945" priority="129" operator="greaterThan">
      <formula>0.03</formula>
    </cfRule>
    <cfRule type="cellIs" dxfId="1944" priority="130" stopIfTrue="1" operator="lessThan">
      <formula>-0.03</formula>
    </cfRule>
  </conditionalFormatting>
  <conditionalFormatting sqref="I99">
    <cfRule type="cellIs" dxfId="1943" priority="127" operator="greaterThan">
      <formula>0.03</formula>
    </cfRule>
    <cfRule type="cellIs" dxfId="1942" priority="128" stopIfTrue="1" operator="lessThan">
      <formula>-0.03</formula>
    </cfRule>
  </conditionalFormatting>
  <conditionalFormatting sqref="I99">
    <cfRule type="cellIs" dxfId="1941" priority="125" operator="greaterThan">
      <formula>0.03</formula>
    </cfRule>
    <cfRule type="cellIs" dxfId="1940" priority="126" stopIfTrue="1" operator="lessThan">
      <formula>-0.03</formula>
    </cfRule>
  </conditionalFormatting>
  <conditionalFormatting sqref="I99">
    <cfRule type="cellIs" dxfId="1939" priority="123" operator="greaterThan">
      <formula>0.03</formula>
    </cfRule>
    <cfRule type="cellIs" dxfId="1938" priority="124" stopIfTrue="1" operator="lessThan">
      <formula>-0.03</formula>
    </cfRule>
  </conditionalFormatting>
  <conditionalFormatting sqref="I99">
    <cfRule type="cellIs" dxfId="1937" priority="121" operator="greaterThan">
      <formula>0.03</formula>
    </cfRule>
    <cfRule type="cellIs" dxfId="1936" priority="122" stopIfTrue="1" operator="lessThan">
      <formula>-0.03</formula>
    </cfRule>
  </conditionalFormatting>
  <conditionalFormatting sqref="I96:I98">
    <cfRule type="cellIs" dxfId="1935" priority="145" operator="greaterThan">
      <formula>0.03</formula>
    </cfRule>
    <cfRule type="cellIs" dxfId="1934" priority="146" stopIfTrue="1" operator="lessThan">
      <formula>-0.03</formula>
    </cfRule>
  </conditionalFormatting>
  <conditionalFormatting sqref="I96:I98">
    <cfRule type="cellIs" dxfId="1933" priority="141" operator="greaterThan">
      <formula>0.03</formula>
    </cfRule>
    <cfRule type="cellIs" dxfId="1932" priority="142" stopIfTrue="1" operator="lessThan">
      <formula>-0.03</formula>
    </cfRule>
  </conditionalFormatting>
  <conditionalFormatting sqref="I96:I98">
    <cfRule type="cellIs" dxfId="1931" priority="143" operator="greaterThan">
      <formula>0.03</formula>
    </cfRule>
    <cfRule type="cellIs" dxfId="1930" priority="144" stopIfTrue="1" operator="lessThan">
      <formula>-0.03</formula>
    </cfRule>
  </conditionalFormatting>
  <conditionalFormatting sqref="I95">
    <cfRule type="cellIs" dxfId="1929" priority="139" operator="greaterThan">
      <formula>0.03</formula>
    </cfRule>
    <cfRule type="cellIs" dxfId="1928" priority="140" stopIfTrue="1" operator="lessThan">
      <formula>-0.03</formula>
    </cfRule>
  </conditionalFormatting>
  <conditionalFormatting sqref="I95">
    <cfRule type="cellIs" dxfId="1927" priority="137" operator="greaterThan">
      <formula>0.03</formula>
    </cfRule>
    <cfRule type="cellIs" dxfId="1926" priority="138" stopIfTrue="1" operator="lessThan">
      <formula>-0.03</formula>
    </cfRule>
  </conditionalFormatting>
  <conditionalFormatting sqref="I95">
    <cfRule type="cellIs" dxfId="1925" priority="135" operator="greaterThan">
      <formula>0.03</formula>
    </cfRule>
    <cfRule type="cellIs" dxfId="1924" priority="136" stopIfTrue="1" operator="lessThan">
      <formula>-0.03</formula>
    </cfRule>
  </conditionalFormatting>
  <conditionalFormatting sqref="I95">
    <cfRule type="cellIs" dxfId="1923" priority="133" operator="greaterThan">
      <formula>0.03</formula>
    </cfRule>
    <cfRule type="cellIs" dxfId="1922" priority="134" stopIfTrue="1" operator="lessThan">
      <formula>-0.03</formula>
    </cfRule>
  </conditionalFormatting>
  <conditionalFormatting sqref="I95">
    <cfRule type="cellIs" dxfId="1921" priority="131" operator="greaterThan">
      <formula>0.03</formula>
    </cfRule>
    <cfRule type="cellIs" dxfId="1920" priority="132" stopIfTrue="1" operator="lessThan">
      <formula>-0.03</formula>
    </cfRule>
  </conditionalFormatting>
  <conditionalFormatting sqref="I120:I122">
    <cfRule type="cellIs" dxfId="1919" priority="119" operator="greaterThan">
      <formula>0.03</formula>
    </cfRule>
    <cfRule type="cellIs" dxfId="1918" priority="120" stopIfTrue="1" operator="lessThan">
      <formula>-0.03</formula>
    </cfRule>
  </conditionalFormatting>
  <conditionalFormatting sqref="I120:I122">
    <cfRule type="cellIs" dxfId="1917" priority="117" operator="greaterThan">
      <formula>0.03</formula>
    </cfRule>
    <cfRule type="cellIs" dxfId="1916" priority="118" stopIfTrue="1" operator="lessThan">
      <formula>-0.03</formula>
    </cfRule>
  </conditionalFormatting>
  <conditionalFormatting sqref="I120:I122">
    <cfRule type="cellIs" dxfId="1915" priority="115" operator="greaterThan">
      <formula>0.03</formula>
    </cfRule>
    <cfRule type="cellIs" dxfId="1914" priority="116" stopIfTrue="1" operator="lessThan">
      <formula>-0.03</formula>
    </cfRule>
  </conditionalFormatting>
  <conditionalFormatting sqref="I120:I122">
    <cfRule type="cellIs" dxfId="1913" priority="113" operator="greaterThan">
      <formula>0.03</formula>
    </cfRule>
    <cfRule type="cellIs" dxfId="1912" priority="114" stopIfTrue="1" operator="lessThan">
      <formula>-0.03</formula>
    </cfRule>
  </conditionalFormatting>
  <conditionalFormatting sqref="I120:I122">
    <cfRule type="cellIs" dxfId="1911" priority="111" operator="greaterThan">
      <formula>0.03</formula>
    </cfRule>
    <cfRule type="cellIs" dxfId="1910" priority="112" stopIfTrue="1" operator="lessThan">
      <formula>-0.03</formula>
    </cfRule>
  </conditionalFormatting>
  <conditionalFormatting sqref="I112:I114">
    <cfRule type="cellIs" dxfId="1909" priority="109" operator="greaterThan">
      <formula>0.03</formula>
    </cfRule>
    <cfRule type="cellIs" dxfId="1908" priority="110" stopIfTrue="1" operator="lessThan">
      <formula>-0.03</formula>
    </cfRule>
  </conditionalFormatting>
  <conditionalFormatting sqref="I112:I114">
    <cfRule type="cellIs" dxfId="1907" priority="107" operator="greaterThan">
      <formula>0.03</formula>
    </cfRule>
    <cfRule type="cellIs" dxfId="1906" priority="108" stopIfTrue="1" operator="lessThan">
      <formula>-0.03</formula>
    </cfRule>
  </conditionalFormatting>
  <conditionalFormatting sqref="I119">
    <cfRule type="cellIs" dxfId="1905" priority="89" operator="greaterThan">
      <formula>0.03</formula>
    </cfRule>
    <cfRule type="cellIs" dxfId="1904" priority="90" stopIfTrue="1" operator="lessThan">
      <formula>-0.03</formula>
    </cfRule>
  </conditionalFormatting>
  <conditionalFormatting sqref="I119">
    <cfRule type="cellIs" dxfId="1903" priority="87" operator="greaterThan">
      <formula>0.03</formula>
    </cfRule>
    <cfRule type="cellIs" dxfId="1902" priority="88" stopIfTrue="1" operator="lessThan">
      <formula>-0.03</formula>
    </cfRule>
  </conditionalFormatting>
  <conditionalFormatting sqref="I119">
    <cfRule type="cellIs" dxfId="1901" priority="85" operator="greaterThan">
      <formula>0.03</formula>
    </cfRule>
    <cfRule type="cellIs" dxfId="1900" priority="86" stopIfTrue="1" operator="lessThan">
      <formula>-0.03</formula>
    </cfRule>
  </conditionalFormatting>
  <conditionalFormatting sqref="I119">
    <cfRule type="cellIs" dxfId="1899" priority="83" operator="greaterThan">
      <formula>0.03</formula>
    </cfRule>
    <cfRule type="cellIs" dxfId="1898" priority="84" stopIfTrue="1" operator="lessThan">
      <formula>-0.03</formula>
    </cfRule>
  </conditionalFormatting>
  <conditionalFormatting sqref="I119">
    <cfRule type="cellIs" dxfId="1897" priority="81" operator="greaterThan">
      <formula>0.03</formula>
    </cfRule>
    <cfRule type="cellIs" dxfId="1896" priority="82" stopIfTrue="1" operator="lessThan">
      <formula>-0.03</formula>
    </cfRule>
  </conditionalFormatting>
  <conditionalFormatting sqref="I112:I114">
    <cfRule type="cellIs" dxfId="1895" priority="105" operator="greaterThan">
      <formula>0.03</formula>
    </cfRule>
    <cfRule type="cellIs" dxfId="1894" priority="106" stopIfTrue="1" operator="lessThan">
      <formula>-0.03</formula>
    </cfRule>
  </conditionalFormatting>
  <conditionalFormatting sqref="I112:I114">
    <cfRule type="cellIs" dxfId="1893" priority="101" operator="greaterThan">
      <formula>0.03</formula>
    </cfRule>
    <cfRule type="cellIs" dxfId="1892" priority="102" stopIfTrue="1" operator="lessThan">
      <formula>-0.03</formula>
    </cfRule>
  </conditionalFormatting>
  <conditionalFormatting sqref="I112:I114">
    <cfRule type="cellIs" dxfId="1891" priority="103" operator="greaterThan">
      <formula>0.03</formula>
    </cfRule>
    <cfRule type="cellIs" dxfId="1890" priority="104" stopIfTrue="1" operator="lessThan">
      <formula>-0.03</formula>
    </cfRule>
  </conditionalFormatting>
  <conditionalFormatting sqref="I111">
    <cfRule type="cellIs" dxfId="1889" priority="99" operator="greaterThan">
      <formula>0.03</formula>
    </cfRule>
    <cfRule type="cellIs" dxfId="1888" priority="100" stopIfTrue="1" operator="lessThan">
      <formula>-0.03</formula>
    </cfRule>
  </conditionalFormatting>
  <conditionalFormatting sqref="I111">
    <cfRule type="cellIs" dxfId="1887" priority="97" operator="greaterThan">
      <formula>0.03</formula>
    </cfRule>
    <cfRule type="cellIs" dxfId="1886" priority="98" stopIfTrue="1" operator="lessThan">
      <formula>-0.03</formula>
    </cfRule>
  </conditionalFormatting>
  <conditionalFormatting sqref="I111">
    <cfRule type="cellIs" dxfId="1885" priority="95" operator="greaterThan">
      <formula>0.03</formula>
    </cfRule>
    <cfRule type="cellIs" dxfId="1884" priority="96" stopIfTrue="1" operator="lessThan">
      <formula>-0.03</formula>
    </cfRule>
  </conditionalFormatting>
  <conditionalFormatting sqref="I111">
    <cfRule type="cellIs" dxfId="1883" priority="93" operator="greaterThan">
      <formula>0.03</formula>
    </cfRule>
    <cfRule type="cellIs" dxfId="1882" priority="94" stopIfTrue="1" operator="lessThan">
      <formula>-0.03</formula>
    </cfRule>
  </conditionalFormatting>
  <conditionalFormatting sqref="I111">
    <cfRule type="cellIs" dxfId="1881" priority="91" operator="greaterThan">
      <formula>0.03</formula>
    </cfRule>
    <cfRule type="cellIs" dxfId="1880" priority="92" stopIfTrue="1" operator="lessThan">
      <formula>-0.03</formula>
    </cfRule>
  </conditionalFormatting>
  <conditionalFormatting sqref="I108:I110">
    <cfRule type="cellIs" dxfId="1879" priority="79" operator="greaterThan">
      <formula>0.03</formula>
    </cfRule>
    <cfRule type="cellIs" dxfId="1878" priority="80" stopIfTrue="1" operator="lessThan">
      <formula>-0.03</formula>
    </cfRule>
  </conditionalFormatting>
  <conditionalFormatting sqref="I108:I110">
    <cfRule type="cellIs" dxfId="1877" priority="77" operator="greaterThan">
      <formula>0.03</formula>
    </cfRule>
    <cfRule type="cellIs" dxfId="1876" priority="78" stopIfTrue="1" operator="lessThan">
      <formula>-0.03</formula>
    </cfRule>
  </conditionalFormatting>
  <conditionalFormatting sqref="I108:I110">
    <cfRule type="cellIs" dxfId="1875" priority="75" operator="greaterThan">
      <formula>0.03</formula>
    </cfRule>
    <cfRule type="cellIs" dxfId="1874" priority="76" stopIfTrue="1" operator="lessThan">
      <formula>-0.03</formula>
    </cfRule>
  </conditionalFormatting>
  <conditionalFormatting sqref="I108:I110">
    <cfRule type="cellIs" dxfId="1873" priority="73" operator="greaterThan">
      <formula>0.03</formula>
    </cfRule>
    <cfRule type="cellIs" dxfId="1872" priority="74" stopIfTrue="1" operator="lessThan">
      <formula>-0.03</formula>
    </cfRule>
  </conditionalFormatting>
  <conditionalFormatting sqref="I108:I110">
    <cfRule type="cellIs" dxfId="1871" priority="71" operator="greaterThan">
      <formula>0.03</formula>
    </cfRule>
    <cfRule type="cellIs" dxfId="1870" priority="72" stopIfTrue="1" operator="lessThan">
      <formula>-0.03</formula>
    </cfRule>
  </conditionalFormatting>
  <conditionalFormatting sqref="I104:I106">
    <cfRule type="cellIs" dxfId="1869" priority="69" operator="greaterThan">
      <formula>0.03</formula>
    </cfRule>
    <cfRule type="cellIs" dxfId="1868" priority="70" stopIfTrue="1" operator="lessThan">
      <formula>-0.03</formula>
    </cfRule>
  </conditionalFormatting>
  <conditionalFormatting sqref="I104:I106">
    <cfRule type="cellIs" dxfId="1867" priority="67" operator="greaterThan">
      <formula>0.03</formula>
    </cfRule>
    <cfRule type="cellIs" dxfId="1866" priority="68" stopIfTrue="1" operator="lessThan">
      <formula>-0.03</formula>
    </cfRule>
  </conditionalFormatting>
  <conditionalFormatting sqref="I107">
    <cfRule type="cellIs" dxfId="1865" priority="49" operator="greaterThan">
      <formula>0.03</formula>
    </cfRule>
    <cfRule type="cellIs" dxfId="1864" priority="50" stopIfTrue="1" operator="lessThan">
      <formula>-0.03</formula>
    </cfRule>
  </conditionalFormatting>
  <conditionalFormatting sqref="I107">
    <cfRule type="cellIs" dxfId="1863" priority="47" operator="greaterThan">
      <formula>0.03</formula>
    </cfRule>
    <cfRule type="cellIs" dxfId="1862" priority="48" stopIfTrue="1" operator="lessThan">
      <formula>-0.03</formula>
    </cfRule>
  </conditionalFormatting>
  <conditionalFormatting sqref="I107">
    <cfRule type="cellIs" dxfId="1861" priority="45" operator="greaterThan">
      <formula>0.03</formula>
    </cfRule>
    <cfRule type="cellIs" dxfId="1860" priority="46" stopIfTrue="1" operator="lessThan">
      <formula>-0.03</formula>
    </cfRule>
  </conditionalFormatting>
  <conditionalFormatting sqref="I107">
    <cfRule type="cellIs" dxfId="1859" priority="43" operator="greaterThan">
      <formula>0.03</formula>
    </cfRule>
    <cfRule type="cellIs" dxfId="1858" priority="44" stopIfTrue="1" operator="lessThan">
      <formula>-0.03</formula>
    </cfRule>
  </conditionalFormatting>
  <conditionalFormatting sqref="I107">
    <cfRule type="cellIs" dxfId="1857" priority="41" operator="greaterThan">
      <formula>0.03</formula>
    </cfRule>
    <cfRule type="cellIs" dxfId="1856" priority="42" stopIfTrue="1" operator="lessThan">
      <formula>-0.03</formula>
    </cfRule>
  </conditionalFormatting>
  <conditionalFormatting sqref="I104:I106">
    <cfRule type="cellIs" dxfId="1855" priority="65" operator="greaterThan">
      <formula>0.03</formula>
    </cfRule>
    <cfRule type="cellIs" dxfId="1854" priority="66" stopIfTrue="1" operator="lessThan">
      <formula>-0.03</formula>
    </cfRule>
  </conditionalFormatting>
  <conditionalFormatting sqref="I104:I106">
    <cfRule type="cellIs" dxfId="1853" priority="61" operator="greaterThan">
      <formula>0.03</formula>
    </cfRule>
    <cfRule type="cellIs" dxfId="1852" priority="62" stopIfTrue="1" operator="lessThan">
      <formula>-0.03</formula>
    </cfRule>
  </conditionalFormatting>
  <conditionalFormatting sqref="I104:I106">
    <cfRule type="cellIs" dxfId="1851" priority="63" operator="greaterThan">
      <formula>0.03</formula>
    </cfRule>
    <cfRule type="cellIs" dxfId="1850" priority="64" stopIfTrue="1" operator="lessThan">
      <formula>-0.03</formula>
    </cfRule>
  </conditionalFormatting>
  <conditionalFormatting sqref="I103">
    <cfRule type="cellIs" dxfId="1849" priority="59" operator="greaterThan">
      <formula>0.03</formula>
    </cfRule>
    <cfRule type="cellIs" dxfId="1848" priority="60" stopIfTrue="1" operator="lessThan">
      <formula>-0.03</formula>
    </cfRule>
  </conditionalFormatting>
  <conditionalFormatting sqref="I103">
    <cfRule type="cellIs" dxfId="1847" priority="57" operator="greaterThan">
      <formula>0.03</formula>
    </cfRule>
    <cfRule type="cellIs" dxfId="1846" priority="58" stopIfTrue="1" operator="lessThan">
      <formula>-0.03</formula>
    </cfRule>
  </conditionalFormatting>
  <conditionalFormatting sqref="I103">
    <cfRule type="cellIs" dxfId="1845" priority="55" operator="greaterThan">
      <formula>0.03</formula>
    </cfRule>
    <cfRule type="cellIs" dxfId="1844" priority="56" stopIfTrue="1" operator="lessThan">
      <formula>-0.03</formula>
    </cfRule>
  </conditionalFormatting>
  <conditionalFormatting sqref="I103">
    <cfRule type="cellIs" dxfId="1843" priority="53" operator="greaterThan">
      <formula>0.03</formula>
    </cfRule>
    <cfRule type="cellIs" dxfId="1842" priority="54" stopIfTrue="1" operator="lessThan">
      <formula>-0.03</formula>
    </cfRule>
  </conditionalFormatting>
  <conditionalFormatting sqref="I103">
    <cfRule type="cellIs" dxfId="1841" priority="51" operator="greaterThan">
      <formula>0.03</formula>
    </cfRule>
    <cfRule type="cellIs" dxfId="1840" priority="52" stopIfTrue="1" operator="lessThan">
      <formula>-0.03</formula>
    </cfRule>
  </conditionalFormatting>
  <conditionalFormatting sqref="I116:I118">
    <cfRule type="cellIs" dxfId="1839" priority="39" operator="greaterThan">
      <formula>0.03</formula>
    </cfRule>
    <cfRule type="cellIs" dxfId="1838" priority="40" stopIfTrue="1" operator="lessThan">
      <formula>-0.03</formula>
    </cfRule>
  </conditionalFormatting>
  <conditionalFormatting sqref="I116:I118">
    <cfRule type="cellIs" dxfId="1837" priority="37" operator="greaterThan">
      <formula>0.03</formula>
    </cfRule>
    <cfRule type="cellIs" dxfId="1836" priority="38" stopIfTrue="1" operator="lessThan">
      <formula>-0.03</formula>
    </cfRule>
  </conditionalFormatting>
  <conditionalFormatting sqref="I116:I118">
    <cfRule type="cellIs" dxfId="1835" priority="35" operator="greaterThan">
      <formula>0.03</formula>
    </cfRule>
    <cfRule type="cellIs" dxfId="1834" priority="36" stopIfTrue="1" operator="lessThan">
      <formula>-0.03</formula>
    </cfRule>
  </conditionalFormatting>
  <conditionalFormatting sqref="I116:I118">
    <cfRule type="cellIs" dxfId="1833" priority="33" operator="greaterThan">
      <formula>0.03</formula>
    </cfRule>
    <cfRule type="cellIs" dxfId="1832" priority="34" stopIfTrue="1" operator="lessThan">
      <formula>-0.03</formula>
    </cfRule>
  </conditionalFormatting>
  <conditionalFormatting sqref="I116:I118">
    <cfRule type="cellIs" dxfId="1831" priority="31" operator="greaterThan">
      <formula>0.03</formula>
    </cfRule>
    <cfRule type="cellIs" dxfId="1830" priority="32" stopIfTrue="1" operator="lessThan">
      <formula>-0.03</formula>
    </cfRule>
  </conditionalFormatting>
  <conditionalFormatting sqref="I115">
    <cfRule type="cellIs" dxfId="1829" priority="29" operator="greaterThan">
      <formula>0.03</formula>
    </cfRule>
    <cfRule type="cellIs" dxfId="1828" priority="30" stopIfTrue="1" operator="lessThan">
      <formula>-0.03</formula>
    </cfRule>
  </conditionalFormatting>
  <conditionalFormatting sqref="I115">
    <cfRule type="cellIs" dxfId="1827" priority="27" operator="greaterThan">
      <formula>0.03</formula>
    </cfRule>
    <cfRule type="cellIs" dxfId="1826" priority="28" stopIfTrue="1" operator="lessThan">
      <formula>-0.03</formula>
    </cfRule>
  </conditionalFormatting>
  <conditionalFormatting sqref="I115">
    <cfRule type="cellIs" dxfId="1825" priority="25" operator="greaterThan">
      <formula>0.03</formula>
    </cfRule>
    <cfRule type="cellIs" dxfId="1824" priority="26" stopIfTrue="1" operator="lessThan">
      <formula>-0.03</formula>
    </cfRule>
  </conditionalFormatting>
  <conditionalFormatting sqref="I115">
    <cfRule type="cellIs" dxfId="1823" priority="23" operator="greaterThan">
      <formula>0.03</formula>
    </cfRule>
    <cfRule type="cellIs" dxfId="1822" priority="24" stopIfTrue="1" operator="lessThan">
      <formula>-0.03</formula>
    </cfRule>
  </conditionalFormatting>
  <conditionalFormatting sqref="I115">
    <cfRule type="cellIs" dxfId="1821" priority="21" operator="greaterThan">
      <formula>0.03</formula>
    </cfRule>
    <cfRule type="cellIs" dxfId="1820" priority="22" stopIfTrue="1" operator="lessThan">
      <formula>-0.03</formula>
    </cfRule>
  </conditionalFormatting>
  <conditionalFormatting sqref="I123">
    <cfRule type="cellIs" dxfId="1819" priority="15" operator="greaterThan">
      <formula>0.03</formula>
    </cfRule>
    <cfRule type="cellIs" dxfId="1818" priority="16" stopIfTrue="1" operator="lessThan">
      <formula>-0.03</formula>
    </cfRule>
  </conditionalFormatting>
  <conditionalFormatting sqref="I123">
    <cfRule type="cellIs" dxfId="1817" priority="13" operator="greaterThan">
      <formula>0.03</formula>
    </cfRule>
    <cfRule type="cellIs" dxfId="1816" priority="14" stopIfTrue="1" operator="lessThan">
      <formula>-0.03</formula>
    </cfRule>
  </conditionalFormatting>
  <conditionalFormatting sqref="I123">
    <cfRule type="cellIs" dxfId="1815" priority="11" operator="greaterThan">
      <formula>0.03</formula>
    </cfRule>
    <cfRule type="cellIs" dxfId="1814" priority="12" stopIfTrue="1" operator="lessThan">
      <formula>-0.03</formula>
    </cfRule>
  </conditionalFormatting>
  <conditionalFormatting sqref="I123">
    <cfRule type="cellIs" dxfId="1813" priority="19" operator="greaterThan">
      <formula>0.03</formula>
    </cfRule>
    <cfRule type="cellIs" dxfId="1812" priority="20" stopIfTrue="1" operator="lessThan">
      <formula>-0.03</formula>
    </cfRule>
  </conditionalFormatting>
  <conditionalFormatting sqref="I123">
    <cfRule type="cellIs" dxfId="1811" priority="17" operator="greaterThan">
      <formula>0.03</formula>
    </cfRule>
    <cfRule type="cellIs" dxfId="1810" priority="18" stopIfTrue="1" operator="lessThan">
      <formula>-0.03</formula>
    </cfRule>
  </conditionalFormatting>
  <conditionalFormatting sqref="I125">
    <cfRule type="cellIs" dxfId="1809" priority="9" operator="greaterThan">
      <formula>0.03</formula>
    </cfRule>
    <cfRule type="cellIs" dxfId="1808" priority="10" stopIfTrue="1" operator="lessThan">
      <formula>-0.03</formula>
    </cfRule>
  </conditionalFormatting>
  <conditionalFormatting sqref="I125">
    <cfRule type="cellIs" dxfId="1807" priority="7" operator="greaterThan">
      <formula>0.03</formula>
    </cfRule>
    <cfRule type="cellIs" dxfId="1806" priority="8" stopIfTrue="1" operator="lessThan">
      <formula>-0.03</formula>
    </cfRule>
  </conditionalFormatting>
  <conditionalFormatting sqref="I125">
    <cfRule type="cellIs" dxfId="1805" priority="5" operator="greaterThan">
      <formula>0.03</formula>
    </cfRule>
    <cfRule type="cellIs" dxfId="1804" priority="6" stopIfTrue="1" operator="lessThan">
      <formula>-0.03</formula>
    </cfRule>
  </conditionalFormatting>
  <conditionalFormatting sqref="I125">
    <cfRule type="cellIs" dxfId="1803" priority="3" operator="greaterThan">
      <formula>0.03</formula>
    </cfRule>
    <cfRule type="cellIs" dxfId="1802" priority="4" stopIfTrue="1" operator="lessThan">
      <formula>-0.03</formula>
    </cfRule>
  </conditionalFormatting>
  <conditionalFormatting sqref="I125">
    <cfRule type="cellIs" dxfId="1801" priority="1" operator="greaterThan">
      <formula>0.03</formula>
    </cfRule>
    <cfRule type="cellIs" dxfId="1800" priority="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D7976-7369-4594-B608-B600A26EFB87}">
  <dimension ref="A1:I128"/>
  <sheetViews>
    <sheetView topLeftCell="A78" zoomScale="85" zoomScaleNormal="85" workbookViewId="0">
      <selection activeCell="G99" sqref="G99:H122"/>
    </sheetView>
  </sheetViews>
  <sheetFormatPr defaultColWidth="8.875" defaultRowHeight="14.25"/>
  <cols>
    <col min="2" max="2" width="25.375" bestFit="1" customWidth="1"/>
    <col min="3" max="3" width="5.875" bestFit="1" customWidth="1"/>
    <col min="6" max="6" width="3.625" bestFit="1" customWidth="1"/>
  </cols>
  <sheetData>
    <row r="1" spans="1:9" ht="15" thickBot="1">
      <c r="A1" s="1"/>
      <c r="B1" s="1"/>
      <c r="C1" s="1"/>
      <c r="D1" s="28" t="s">
        <v>25</v>
      </c>
      <c r="E1" s="29"/>
      <c r="F1" s="1"/>
      <c r="G1" s="28" t="s">
        <v>26</v>
      </c>
      <c r="H1" s="29"/>
      <c r="I1" s="25"/>
    </row>
    <row r="2" spans="1:9" ht="15" thickBot="1">
      <c r="A2" s="2"/>
      <c r="B2" s="3"/>
      <c r="C2" s="22" t="s">
        <v>24</v>
      </c>
      <c r="D2" s="13" t="s">
        <v>0</v>
      </c>
      <c r="E2" s="5" t="s">
        <v>1</v>
      </c>
      <c r="F2" s="22" t="s">
        <v>24</v>
      </c>
      <c r="G2" s="13" t="s">
        <v>0</v>
      </c>
      <c r="H2" s="5" t="s">
        <v>1</v>
      </c>
      <c r="I2" s="13" t="s">
        <v>3</v>
      </c>
    </row>
    <row r="3" spans="1:9">
      <c r="A3" s="20" t="s">
        <v>4</v>
      </c>
      <c r="B3" s="30" t="s">
        <v>40</v>
      </c>
      <c r="C3" s="6">
        <v>27</v>
      </c>
      <c r="D3" s="24">
        <v>1.4555844907407399E-2</v>
      </c>
      <c r="E3" s="24">
        <v>38.838264465332003</v>
      </c>
      <c r="F3" s="6">
        <v>27</v>
      </c>
      <c r="G3" s="24">
        <v>1.3432195216049299E-2</v>
      </c>
      <c r="H3" s="24">
        <v>39.193954467773402</v>
      </c>
      <c r="I3" s="7">
        <f>bdrate($D3:$D6,E3:E6,$G3:$G6,H3:H6)</f>
        <v>-0.46024120074001718</v>
      </c>
    </row>
    <row r="4" spans="1:9">
      <c r="A4" s="14" t="s">
        <v>5</v>
      </c>
      <c r="B4" s="31"/>
      <c r="C4" s="8">
        <v>32</v>
      </c>
      <c r="D4" s="24">
        <v>9.5942644032921808E-3</v>
      </c>
      <c r="E4" s="24">
        <v>38.599372863769503</v>
      </c>
      <c r="F4" s="8">
        <v>32</v>
      </c>
      <c r="G4" s="24">
        <v>8.56770833333333E-3</v>
      </c>
      <c r="H4" s="24">
        <v>38.997509002685497</v>
      </c>
      <c r="I4" s="9"/>
    </row>
    <row r="5" spans="1:9">
      <c r="A5" s="8"/>
      <c r="B5" s="31"/>
      <c r="C5" s="8">
        <v>38</v>
      </c>
      <c r="D5" s="24">
        <v>6.7980002572016404E-3</v>
      </c>
      <c r="E5" s="24">
        <v>38.334957122802699</v>
      </c>
      <c r="F5" s="8">
        <v>38</v>
      </c>
      <c r="G5" s="24">
        <v>6.1715534979423798E-3</v>
      </c>
      <c r="H5" s="24">
        <v>38.787578582763601</v>
      </c>
      <c r="I5" s="9"/>
    </row>
    <row r="6" spans="1:9" ht="15" thickBot="1">
      <c r="A6" s="8"/>
      <c r="B6" s="32"/>
      <c r="C6" s="10">
        <v>45</v>
      </c>
      <c r="D6" s="24">
        <v>5.0355259773662503E-3</v>
      </c>
      <c r="E6" s="24">
        <v>37.820079803466797</v>
      </c>
      <c r="F6" s="10">
        <v>45</v>
      </c>
      <c r="G6" s="24">
        <v>4.6797839506172801E-3</v>
      </c>
      <c r="H6" s="24">
        <v>38.381027221679602</v>
      </c>
      <c r="I6" s="2"/>
    </row>
    <row r="7" spans="1:9">
      <c r="A7" s="8"/>
      <c r="B7" s="30" t="s">
        <v>41</v>
      </c>
      <c r="C7" s="6">
        <v>27</v>
      </c>
      <c r="D7" s="24">
        <v>5.7805909207818897E-2</v>
      </c>
      <c r="E7" s="24">
        <v>42.795467376708899</v>
      </c>
      <c r="F7" s="6">
        <v>27</v>
      </c>
      <c r="G7" s="24">
        <v>7.0541570216049301E-2</v>
      </c>
      <c r="H7" s="24">
        <v>42.894569396972599</v>
      </c>
      <c r="I7" s="7">
        <f>bdrate($D7:$D10,E7:E10,$G7:$G10,H7:H10)</f>
        <v>0.19147935735575672</v>
      </c>
    </row>
    <row r="8" spans="1:9">
      <c r="A8" s="8"/>
      <c r="B8" s="31"/>
      <c r="C8" s="8">
        <v>32</v>
      </c>
      <c r="D8" s="24">
        <v>4.3590213477366198E-2</v>
      </c>
      <c r="E8" s="24">
        <v>41.887130737304602</v>
      </c>
      <c r="F8" s="8">
        <v>32</v>
      </c>
      <c r="G8" s="24">
        <v>5.3580729166666598E-2</v>
      </c>
      <c r="H8" s="24">
        <v>42.0191040039062</v>
      </c>
      <c r="I8" s="9"/>
    </row>
    <row r="9" spans="1:9">
      <c r="A9" s="8"/>
      <c r="B9" s="31"/>
      <c r="C9" s="8">
        <v>38</v>
      </c>
      <c r="D9" s="24">
        <v>3.3559831532921802E-2</v>
      </c>
      <c r="E9" s="24">
        <v>40.864055633544901</v>
      </c>
      <c r="F9" s="8">
        <v>38</v>
      </c>
      <c r="G9" s="24">
        <v>4.1408500514403201E-2</v>
      </c>
      <c r="H9" s="24">
        <v>41.002883911132798</v>
      </c>
      <c r="I9" s="9"/>
    </row>
    <row r="10" spans="1:9" ht="15" thickBot="1">
      <c r="A10" s="8"/>
      <c r="B10" s="32"/>
      <c r="C10" s="10">
        <v>45</v>
      </c>
      <c r="D10" s="24">
        <v>2.4202192644032901E-2</v>
      </c>
      <c r="E10" s="24">
        <v>39.258758544921797</v>
      </c>
      <c r="F10" s="10">
        <v>45</v>
      </c>
      <c r="G10" s="24">
        <v>3.0113007973251001E-2</v>
      </c>
      <c r="H10" s="24">
        <v>39.454856872558501</v>
      </c>
      <c r="I10" s="9"/>
    </row>
    <row r="11" spans="1:9">
      <c r="A11" s="14"/>
      <c r="B11" s="30" t="s">
        <v>42</v>
      </c>
      <c r="C11" s="6">
        <v>27</v>
      </c>
      <c r="D11" s="24">
        <v>3.1047614454732499E-2</v>
      </c>
      <c r="E11" s="24">
        <v>39.641876220703097</v>
      </c>
      <c r="F11" s="6">
        <v>27</v>
      </c>
      <c r="G11" s="24">
        <v>3.0139049639917599E-2</v>
      </c>
      <c r="H11" s="24">
        <v>40.655799865722599</v>
      </c>
      <c r="I11" s="7">
        <f>bdrate($D11:$D14,E11:E14,$G11:$G14,H11:H14)</f>
        <v>-0.34435977716150623</v>
      </c>
    </row>
    <row r="12" spans="1:9">
      <c r="A12" s="14"/>
      <c r="B12" s="31"/>
      <c r="C12" s="8">
        <v>32</v>
      </c>
      <c r="D12" s="24">
        <v>2.24662422839506E-2</v>
      </c>
      <c r="E12" s="24">
        <v>38.940731048583899</v>
      </c>
      <c r="F12" s="8">
        <v>32</v>
      </c>
      <c r="G12" s="24">
        <v>2.2099086934156301E-2</v>
      </c>
      <c r="H12" s="24">
        <v>40.119056701660099</v>
      </c>
      <c r="I12" s="9"/>
    </row>
    <row r="13" spans="1:9">
      <c r="A13" s="8"/>
      <c r="B13" s="31"/>
      <c r="C13" s="8">
        <v>38</v>
      </c>
      <c r="D13" s="24">
        <v>1.67246977880658E-2</v>
      </c>
      <c r="E13" s="24">
        <v>38.107261657714801</v>
      </c>
      <c r="F13" s="8">
        <v>38</v>
      </c>
      <c r="G13" s="24">
        <v>1.66742219650205E-2</v>
      </c>
      <c r="H13" s="24">
        <v>39.386680603027301</v>
      </c>
      <c r="I13" s="9"/>
    </row>
    <row r="14" spans="1:9" ht="15" thickBot="1">
      <c r="A14" s="8"/>
      <c r="B14" s="32"/>
      <c r="C14" s="10">
        <v>45</v>
      </c>
      <c r="D14" s="24">
        <v>1.17605452674897E-2</v>
      </c>
      <c r="E14" s="24">
        <v>36.515743255615199</v>
      </c>
      <c r="F14" s="10">
        <v>45</v>
      </c>
      <c r="G14" s="24">
        <v>1.20010288065843E-2</v>
      </c>
      <c r="H14" s="24">
        <v>38.0711669921875</v>
      </c>
      <c r="I14" s="2"/>
    </row>
    <row r="15" spans="1:9">
      <c r="A15" s="8"/>
      <c r="B15" s="30" t="s">
        <v>43</v>
      </c>
      <c r="C15" s="6">
        <v>27</v>
      </c>
      <c r="D15" s="24">
        <v>0.52698495370370302</v>
      </c>
      <c r="E15" s="24">
        <v>37.105239868163999</v>
      </c>
      <c r="F15" s="6">
        <v>27</v>
      </c>
      <c r="G15" s="24">
        <v>0.52923723636831199</v>
      </c>
      <c r="H15" s="24">
        <v>37.061363220214801</v>
      </c>
      <c r="I15" s="7">
        <f>bdrate($D15:$D18,E15:E18,$G15:$G18,H15:H18)</f>
        <v>1.1636436747449075E-2</v>
      </c>
    </row>
    <row r="16" spans="1:9">
      <c r="A16" s="8"/>
      <c r="B16" s="31"/>
      <c r="C16" s="8">
        <v>32</v>
      </c>
      <c r="D16" s="24">
        <v>0.41040107381687202</v>
      </c>
      <c r="E16" s="24">
        <v>36.0140380859375</v>
      </c>
      <c r="F16" s="8">
        <v>32</v>
      </c>
      <c r="G16" s="24">
        <v>0.41049463091563698</v>
      </c>
      <c r="H16" s="24">
        <v>35.956123352050703</v>
      </c>
      <c r="I16" s="9"/>
    </row>
    <row r="17" spans="1:9">
      <c r="A17" s="8"/>
      <c r="B17" s="31"/>
      <c r="C17" s="8">
        <v>38</v>
      </c>
      <c r="D17" s="24">
        <v>0.30743023405349701</v>
      </c>
      <c r="E17" s="24">
        <v>34.716564178466797</v>
      </c>
      <c r="F17" s="8">
        <v>38</v>
      </c>
      <c r="G17" s="24">
        <v>0.307318351337448</v>
      </c>
      <c r="H17" s="24">
        <v>34.66455078125</v>
      </c>
      <c r="I17" s="9"/>
    </row>
    <row r="18" spans="1:9" ht="15" thickBot="1">
      <c r="A18" s="8"/>
      <c r="B18" s="32"/>
      <c r="C18" s="10">
        <v>45</v>
      </c>
      <c r="D18" s="24">
        <v>0.199766750257201</v>
      </c>
      <c r="E18" s="24">
        <v>32.890213012695298</v>
      </c>
      <c r="F18" s="10">
        <v>45</v>
      </c>
      <c r="G18" s="24">
        <v>0.200410558127572</v>
      </c>
      <c r="H18" s="24">
        <v>32.874431610107401</v>
      </c>
      <c r="I18" s="9"/>
    </row>
    <row r="19" spans="1:9">
      <c r="A19" s="8"/>
      <c r="B19" s="30" t="s">
        <v>44</v>
      </c>
      <c r="C19" s="6">
        <v>27</v>
      </c>
      <c r="D19" s="24">
        <v>0.17752250514403201</v>
      </c>
      <c r="E19" s="24">
        <v>35.818561553955</v>
      </c>
      <c r="F19" s="6">
        <v>27</v>
      </c>
      <c r="G19" s="24">
        <v>0.21233474794238599</v>
      </c>
      <c r="H19" s="24">
        <v>35.849712371826101</v>
      </c>
      <c r="I19" s="7">
        <f>bdrate($D19:$D22,E19:E22,$G19:$G22,H19:H22)</f>
        <v>0.19530029699443507</v>
      </c>
    </row>
    <row r="20" spans="1:9">
      <c r="A20" s="8"/>
      <c r="B20" s="31"/>
      <c r="C20" s="8">
        <v>32</v>
      </c>
      <c r="D20" s="24">
        <v>0.123953832304526</v>
      </c>
      <c r="E20" s="24">
        <v>35.2699584960937</v>
      </c>
      <c r="F20" s="8">
        <v>32</v>
      </c>
      <c r="G20" s="24">
        <v>0.15041730967078101</v>
      </c>
      <c r="H20" s="24">
        <v>35.316490173339801</v>
      </c>
      <c r="I20" s="9"/>
    </row>
    <row r="21" spans="1:9">
      <c r="A21" s="8"/>
      <c r="B21" s="31"/>
      <c r="C21" s="8">
        <v>38</v>
      </c>
      <c r="D21" s="24">
        <v>8.8026941872427905E-2</v>
      </c>
      <c r="E21" s="24">
        <v>34.617118835449197</v>
      </c>
      <c r="F21" s="8">
        <v>38</v>
      </c>
      <c r="G21" s="24">
        <v>0.10793595679012299</v>
      </c>
      <c r="H21" s="24">
        <v>34.6633911132812</v>
      </c>
      <c r="I21" s="9"/>
    </row>
    <row r="22" spans="1:9" ht="15" thickBot="1">
      <c r="A22" s="8"/>
      <c r="B22" s="32"/>
      <c r="C22" s="10">
        <v>45</v>
      </c>
      <c r="D22" s="24">
        <v>5.6493698559670701E-2</v>
      </c>
      <c r="E22" s="24">
        <v>33.535865783691399</v>
      </c>
      <c r="F22" s="10">
        <v>45</v>
      </c>
      <c r="G22" s="24">
        <v>7.0315393518518496E-2</v>
      </c>
      <c r="H22" s="24">
        <v>33.604007720947202</v>
      </c>
      <c r="I22" s="2"/>
    </row>
    <row r="23" spans="1:9">
      <c r="A23" s="20" t="s">
        <v>6</v>
      </c>
      <c r="B23" s="30" t="s">
        <v>45</v>
      </c>
      <c r="C23" s="6">
        <v>27</v>
      </c>
      <c r="D23" s="24">
        <v>8.0077642746913494E-2</v>
      </c>
      <c r="E23" s="24">
        <v>30.878105163574201</v>
      </c>
      <c r="F23" s="6">
        <v>27</v>
      </c>
      <c r="G23" s="24">
        <v>0.18566165123456699</v>
      </c>
      <c r="H23" s="24">
        <v>31.1597499847412</v>
      </c>
      <c r="I23" s="7">
        <f>bdrate($D23:$D26,E23:E26,$G23:$G26,H23:H26)</f>
        <v>-0.12713216447330855</v>
      </c>
    </row>
    <row r="24" spans="1:9">
      <c r="A24" s="14" t="s">
        <v>7</v>
      </c>
      <c r="B24" s="31"/>
      <c r="C24" s="8">
        <v>32</v>
      </c>
      <c r="D24" s="24">
        <v>4.77723122427983E-2</v>
      </c>
      <c r="E24" s="24">
        <v>30.776983261108398</v>
      </c>
      <c r="F24" s="8">
        <v>32</v>
      </c>
      <c r="G24" s="24">
        <v>5.4970421810699499E-2</v>
      </c>
      <c r="H24" s="24">
        <v>30.8111457824707</v>
      </c>
      <c r="I24" s="9"/>
    </row>
    <row r="25" spans="1:9">
      <c r="A25" s="8"/>
      <c r="B25" s="31"/>
      <c r="C25" s="8">
        <v>38</v>
      </c>
      <c r="D25" s="24">
        <v>3.3502764917695403E-2</v>
      </c>
      <c r="E25" s="24">
        <v>30.685207366943299</v>
      </c>
      <c r="F25" s="8">
        <v>38</v>
      </c>
      <c r="G25" s="24">
        <v>3.5008198302469103E-2</v>
      </c>
      <c r="H25" s="24">
        <v>30.733701705932599</v>
      </c>
      <c r="I25" s="9"/>
    </row>
    <row r="26" spans="1:9" ht="15" thickBot="1">
      <c r="A26" s="8"/>
      <c r="B26" s="32"/>
      <c r="C26" s="10">
        <v>45</v>
      </c>
      <c r="D26" s="24">
        <v>1.8115033436213901E-2</v>
      </c>
      <c r="E26" s="24">
        <v>30.5111579895019</v>
      </c>
      <c r="F26" s="10">
        <v>45</v>
      </c>
      <c r="G26" s="24">
        <v>1.8761252572016399E-2</v>
      </c>
      <c r="H26" s="24">
        <v>30.631546020507798</v>
      </c>
      <c r="I26" s="2"/>
    </row>
    <row r="27" spans="1:9">
      <c r="A27" s="8"/>
      <c r="B27" s="30" t="s">
        <v>46</v>
      </c>
      <c r="C27" s="6">
        <v>27</v>
      </c>
      <c r="D27" s="24">
        <v>0.15975806970164599</v>
      </c>
      <c r="E27" s="24">
        <v>34.802757263183501</v>
      </c>
      <c r="F27" s="6">
        <v>27</v>
      </c>
      <c r="G27" s="24">
        <v>0.171421521347736</v>
      </c>
      <c r="H27" s="24">
        <v>34.898895263671797</v>
      </c>
      <c r="I27" s="7">
        <f>bdrate($D27:$D30,E27:E30,$G27:$G30,H27:H30)</f>
        <v>-5.6116507304573515E-2</v>
      </c>
    </row>
    <row r="28" spans="1:9">
      <c r="A28" s="8"/>
      <c r="B28" s="31"/>
      <c r="C28" s="8">
        <v>32</v>
      </c>
      <c r="D28" s="24">
        <v>9.3479938271604904E-2</v>
      </c>
      <c r="E28" s="24">
        <v>34.2859497070312</v>
      </c>
      <c r="F28" s="8">
        <v>32</v>
      </c>
      <c r="G28" s="24">
        <v>9.8895318930041096E-2</v>
      </c>
      <c r="H28" s="24">
        <v>34.396903991699197</v>
      </c>
      <c r="I28" s="9"/>
    </row>
    <row r="29" spans="1:9">
      <c r="A29" s="8"/>
      <c r="B29" s="31"/>
      <c r="C29" s="8">
        <v>38</v>
      </c>
      <c r="D29" s="24">
        <v>5.8932934670781797E-2</v>
      </c>
      <c r="E29" s="24">
        <v>33.775238037109297</v>
      </c>
      <c r="F29" s="8">
        <v>38</v>
      </c>
      <c r="G29" s="24">
        <v>6.2123360339506099E-2</v>
      </c>
      <c r="H29" s="24">
        <v>33.905967712402301</v>
      </c>
      <c r="I29" s="9"/>
    </row>
    <row r="30" spans="1:9" ht="15" thickBot="1">
      <c r="A30" s="8"/>
      <c r="B30" s="32"/>
      <c r="C30" s="10">
        <v>45</v>
      </c>
      <c r="D30" s="24">
        <v>3.2999935699588402E-2</v>
      </c>
      <c r="E30" s="24">
        <v>33.0365600585937</v>
      </c>
      <c r="F30" s="10">
        <v>45</v>
      </c>
      <c r="G30" s="24">
        <v>3.48455182613168E-2</v>
      </c>
      <c r="H30" s="24">
        <v>33.203079223632798</v>
      </c>
      <c r="I30" s="2"/>
    </row>
    <row r="31" spans="1:9">
      <c r="A31" s="14"/>
      <c r="B31" s="30" t="s">
        <v>47</v>
      </c>
      <c r="C31" s="6">
        <v>27</v>
      </c>
      <c r="D31" s="24">
        <v>4.03620113168724E-2</v>
      </c>
      <c r="E31" s="24">
        <v>36.704124450683501</v>
      </c>
      <c r="F31" s="6">
        <v>27</v>
      </c>
      <c r="G31" s="24">
        <v>5.0530317644032902E-2</v>
      </c>
      <c r="H31" s="24">
        <v>36.914371490478501</v>
      </c>
      <c r="I31" s="7">
        <f>bdrate($D31:$D34,E31:E34,$G31:$G34,H31:H34)</f>
        <v>8.1691337219483184E-2</v>
      </c>
    </row>
    <row r="32" spans="1:9">
      <c r="A32" s="14"/>
      <c r="B32" s="31"/>
      <c r="C32" s="8">
        <v>32</v>
      </c>
      <c r="D32" s="24">
        <v>2.44827031893004E-2</v>
      </c>
      <c r="E32" s="24">
        <v>36.302364349365199</v>
      </c>
      <c r="F32" s="8">
        <v>32</v>
      </c>
      <c r="G32" s="24">
        <v>3.3214216820987602E-2</v>
      </c>
      <c r="H32" s="24">
        <v>36.5996704101562</v>
      </c>
      <c r="I32" s="9"/>
    </row>
    <row r="33" spans="1:9">
      <c r="A33" s="8"/>
      <c r="B33" s="31"/>
      <c r="C33" s="8">
        <v>38</v>
      </c>
      <c r="D33" s="24">
        <v>1.6819540895061699E-2</v>
      </c>
      <c r="E33" s="24">
        <v>35.928104400634702</v>
      </c>
      <c r="F33" s="8">
        <v>38</v>
      </c>
      <c r="G33" s="24">
        <v>2.3420460390946501E-2</v>
      </c>
      <c r="H33" s="24">
        <v>36.209850311279297</v>
      </c>
      <c r="I33" s="9"/>
    </row>
    <row r="34" spans="1:9" ht="15" thickBot="1">
      <c r="A34" s="8"/>
      <c r="B34" s="32"/>
      <c r="C34" s="10">
        <v>45</v>
      </c>
      <c r="D34" s="24">
        <v>1.1445312500000001E-2</v>
      </c>
      <c r="E34" s="24">
        <v>35.261314392089801</v>
      </c>
      <c r="F34" s="10">
        <v>45</v>
      </c>
      <c r="G34" s="24">
        <v>1.5830118312757199E-2</v>
      </c>
      <c r="H34" s="24">
        <v>35.523178100585902</v>
      </c>
      <c r="I34" s="2"/>
    </row>
    <row r="35" spans="1:9">
      <c r="A35" s="8"/>
      <c r="B35" s="30" t="s">
        <v>48</v>
      </c>
      <c r="C35" s="6">
        <v>27</v>
      </c>
      <c r="D35" s="24">
        <v>0.30679253472222201</v>
      </c>
      <c r="E35" s="24">
        <v>34.508682250976499</v>
      </c>
      <c r="F35" s="6">
        <v>27</v>
      </c>
      <c r="G35" s="24">
        <v>0.28396395961934101</v>
      </c>
      <c r="H35" s="24">
        <v>34.764385223388601</v>
      </c>
      <c r="I35" s="7">
        <f>bdrate($D35:$D38,E35:E38,$G35:$G38,H35:H38)</f>
        <v>-0.3034734502556834</v>
      </c>
    </row>
    <row r="36" spans="1:9">
      <c r="A36" s="8"/>
      <c r="B36" s="31"/>
      <c r="C36" s="8">
        <v>32</v>
      </c>
      <c r="D36" s="24">
        <v>0.181917438271604</v>
      </c>
      <c r="E36" s="24">
        <v>33.335872650146399</v>
      </c>
      <c r="F36" s="8">
        <v>32</v>
      </c>
      <c r="G36" s="24">
        <v>0.163501639660493</v>
      </c>
      <c r="H36" s="24">
        <v>33.821182250976499</v>
      </c>
      <c r="I36" s="9"/>
    </row>
    <row r="37" spans="1:9">
      <c r="A37" s="8"/>
      <c r="B37" s="31"/>
      <c r="C37" s="8">
        <v>38</v>
      </c>
      <c r="D37" s="24">
        <v>0.114017650462962</v>
      </c>
      <c r="E37" s="24">
        <v>32.082839965820298</v>
      </c>
      <c r="F37" s="8">
        <v>38</v>
      </c>
      <c r="G37" s="24">
        <v>0.105660365226337</v>
      </c>
      <c r="H37" s="24">
        <v>32.939277648925703</v>
      </c>
      <c r="I37" s="9"/>
    </row>
    <row r="38" spans="1:9" ht="15" thickBot="1">
      <c r="A38" s="8"/>
      <c r="B38" s="32"/>
      <c r="C38" s="10">
        <v>45</v>
      </c>
      <c r="D38" s="24">
        <v>6.5111078960905303E-2</v>
      </c>
      <c r="E38" s="24">
        <v>30.254421234130799</v>
      </c>
      <c r="F38" s="10">
        <v>45</v>
      </c>
      <c r="G38" s="24">
        <v>6.3370306069958804E-2</v>
      </c>
      <c r="H38" s="24">
        <v>31.5797023773193</v>
      </c>
      <c r="I38" s="2"/>
    </row>
    <row r="39" spans="1:9">
      <c r="A39" s="20" t="s">
        <v>8</v>
      </c>
      <c r="B39" s="30" t="s">
        <v>49</v>
      </c>
      <c r="C39" s="6">
        <v>27</v>
      </c>
      <c r="D39" s="24">
        <v>0.282560924639917</v>
      </c>
      <c r="E39" s="24">
        <v>37.550518035888601</v>
      </c>
      <c r="F39" s="6">
        <v>27</v>
      </c>
      <c r="G39" s="24">
        <v>0.305526459619341</v>
      </c>
      <c r="H39" s="24">
        <v>37.749214172363203</v>
      </c>
      <c r="I39" s="7">
        <f>bdrate($D39:$D42,E39:E42,$G39:$G42,H39:H42)</f>
        <v>2.2720102672040277E-3</v>
      </c>
    </row>
    <row r="40" spans="1:9">
      <c r="A40" s="14" t="s">
        <v>9</v>
      </c>
      <c r="B40" s="31"/>
      <c r="C40" s="8">
        <v>32</v>
      </c>
      <c r="D40" s="24">
        <v>0.200318287037037</v>
      </c>
      <c r="E40" s="24">
        <v>36.391036987304602</v>
      </c>
      <c r="F40" s="8">
        <v>32</v>
      </c>
      <c r="G40" s="24">
        <v>0.221519257973251</v>
      </c>
      <c r="H40" s="24">
        <v>36.7343139648437</v>
      </c>
      <c r="I40" s="9"/>
    </row>
    <row r="41" spans="1:9">
      <c r="A41" s="8"/>
      <c r="B41" s="31"/>
      <c r="C41" s="8">
        <v>38</v>
      </c>
      <c r="D41" s="24">
        <v>0.14596273791152201</v>
      </c>
      <c r="E41" s="24">
        <v>35.2298583984375</v>
      </c>
      <c r="F41" s="8">
        <v>38</v>
      </c>
      <c r="G41" s="24">
        <v>0.163568190586419</v>
      </c>
      <c r="H41" s="24">
        <v>35.661422729492102</v>
      </c>
      <c r="I41" s="9"/>
    </row>
    <row r="42" spans="1:9" ht="15" thickBot="1">
      <c r="A42" s="8"/>
      <c r="B42" s="32"/>
      <c r="C42" s="10">
        <v>45</v>
      </c>
      <c r="D42" s="24">
        <v>9.8880690586419698E-2</v>
      </c>
      <c r="E42" s="24">
        <v>33.592227935791001</v>
      </c>
      <c r="F42" s="10">
        <v>45</v>
      </c>
      <c r="G42" s="24">
        <v>0.112453382201646</v>
      </c>
      <c r="H42" s="24">
        <v>34.146476745605398</v>
      </c>
      <c r="I42" s="2"/>
    </row>
    <row r="43" spans="1:9">
      <c r="A43" s="8"/>
      <c r="B43" s="30" t="s">
        <v>50</v>
      </c>
      <c r="C43" s="6">
        <v>27</v>
      </c>
      <c r="D43" s="24">
        <v>9.6737879372427907E-2</v>
      </c>
      <c r="E43" s="24">
        <v>41.943450927734297</v>
      </c>
      <c r="F43" s="6">
        <v>27</v>
      </c>
      <c r="G43" s="24">
        <v>0.12556938014403199</v>
      </c>
      <c r="H43" s="24">
        <v>41.766674041747997</v>
      </c>
      <c r="I43" s="7">
        <f>bdrate($D43:$D46,E43:E46,$G43:$G46,H43:H46)</f>
        <v>0.4165970049766814</v>
      </c>
    </row>
    <row r="44" spans="1:9">
      <c r="A44" s="8"/>
      <c r="B44" s="31"/>
      <c r="C44" s="8">
        <v>32</v>
      </c>
      <c r="D44" s="24">
        <v>6.7613972479423801E-2</v>
      </c>
      <c r="E44" s="24">
        <v>40.696525573730398</v>
      </c>
      <c r="F44" s="8">
        <v>32</v>
      </c>
      <c r="G44" s="24">
        <v>9.1093267746913495E-2</v>
      </c>
      <c r="H44" s="24">
        <v>40.576766967773402</v>
      </c>
      <c r="I44" s="9"/>
    </row>
    <row r="45" spans="1:9">
      <c r="A45" s="8"/>
      <c r="B45" s="31"/>
      <c r="C45" s="8">
        <v>38</v>
      </c>
      <c r="D45" s="24">
        <v>4.8655156893004099E-2</v>
      </c>
      <c r="E45" s="24">
        <v>39.455451965332003</v>
      </c>
      <c r="F45" s="8">
        <v>38</v>
      </c>
      <c r="G45" s="24">
        <v>6.6795749742798297E-2</v>
      </c>
      <c r="H45" s="24">
        <v>39.285369873046797</v>
      </c>
      <c r="I45" s="9"/>
    </row>
    <row r="46" spans="1:9" ht="15" thickBot="1">
      <c r="A46" s="8"/>
      <c r="B46" s="32"/>
      <c r="C46" s="10">
        <v>45</v>
      </c>
      <c r="D46" s="24">
        <v>3.2444058641975297E-2</v>
      </c>
      <c r="E46" s="24">
        <v>37.730312347412102</v>
      </c>
      <c r="F46" s="10">
        <v>45</v>
      </c>
      <c r="G46" s="24">
        <v>4.5445119598765397E-2</v>
      </c>
      <c r="H46" s="24">
        <v>37.520221710205</v>
      </c>
      <c r="I46" s="2"/>
    </row>
    <row r="47" spans="1:9">
      <c r="A47" s="14"/>
      <c r="B47" s="30" t="s">
        <v>51</v>
      </c>
      <c r="C47" s="6">
        <v>27</v>
      </c>
      <c r="D47" s="24">
        <v>8.2846418467078103E-2</v>
      </c>
      <c r="E47" s="24">
        <v>38.2146606445312</v>
      </c>
      <c r="F47" s="6">
        <v>27</v>
      </c>
      <c r="G47" s="24">
        <v>8.0623392489711898E-2</v>
      </c>
      <c r="H47" s="24">
        <v>39.637985229492102</v>
      </c>
      <c r="I47" s="7">
        <f>bdrate($D47:$D50,E47:E50,$G47:$G50,H47:H50)</f>
        <v>-0.42326201660595841</v>
      </c>
    </row>
    <row r="48" spans="1:9">
      <c r="A48" s="14"/>
      <c r="B48" s="31"/>
      <c r="C48" s="8">
        <v>32</v>
      </c>
      <c r="D48" s="24">
        <v>5.1961644804526697E-2</v>
      </c>
      <c r="E48" s="24">
        <v>36.994274139404297</v>
      </c>
      <c r="F48" s="8">
        <v>32</v>
      </c>
      <c r="G48" s="24">
        <v>5.1072852366255098E-2</v>
      </c>
      <c r="H48" s="24">
        <v>38.537361145019503</v>
      </c>
      <c r="I48" s="9"/>
    </row>
    <row r="49" spans="1:9">
      <c r="A49" s="8"/>
      <c r="B49" s="31"/>
      <c r="C49" s="8">
        <v>38</v>
      </c>
      <c r="D49" s="24">
        <v>3.4068447788065802E-2</v>
      </c>
      <c r="E49" s="24">
        <v>35.792610168457003</v>
      </c>
      <c r="F49" s="8">
        <v>38</v>
      </c>
      <c r="G49" s="24">
        <v>3.3643100565843603E-2</v>
      </c>
      <c r="H49" s="24">
        <v>37.376621246337798</v>
      </c>
      <c r="I49" s="9"/>
    </row>
    <row r="50" spans="1:9" ht="15" thickBot="1">
      <c r="A50" s="8"/>
      <c r="B50" s="32"/>
      <c r="C50" s="10">
        <v>45</v>
      </c>
      <c r="D50" s="24">
        <v>2.0437082047325101E-2</v>
      </c>
      <c r="E50" s="24">
        <v>34.049900054931598</v>
      </c>
      <c r="F50" s="10">
        <v>45</v>
      </c>
      <c r="G50" s="24">
        <v>2.0223926183127499E-2</v>
      </c>
      <c r="H50" s="24">
        <v>35.659515380859297</v>
      </c>
      <c r="I50" s="2"/>
    </row>
    <row r="51" spans="1:9">
      <c r="A51" s="8"/>
      <c r="B51" s="30" t="s">
        <v>52</v>
      </c>
      <c r="C51" s="6">
        <v>27</v>
      </c>
      <c r="D51" s="24">
        <v>0.206646572788065</v>
      </c>
      <c r="E51" s="24">
        <v>34.882850646972599</v>
      </c>
      <c r="F51" s="6">
        <v>27</v>
      </c>
      <c r="G51" s="24">
        <v>0.21165702160493799</v>
      </c>
      <c r="H51" s="24">
        <v>35.756515502929602</v>
      </c>
      <c r="I51" s="7">
        <f>bdrate($D51:$D54,E51:E54,$G51:$G54,H51:H54)</f>
        <v>-0.53764898204218192</v>
      </c>
    </row>
    <row r="52" spans="1:9">
      <c r="A52" s="8"/>
      <c r="B52" s="31"/>
      <c r="C52" s="8">
        <v>32</v>
      </c>
      <c r="D52" s="24">
        <v>9.8846611368312701E-2</v>
      </c>
      <c r="E52" s="24">
        <v>33.350128173828097</v>
      </c>
      <c r="F52" s="8">
        <v>32</v>
      </c>
      <c r="G52" s="24">
        <v>9.6927565586419698E-2</v>
      </c>
      <c r="H52" s="24">
        <v>34.585762023925703</v>
      </c>
      <c r="I52" s="9"/>
    </row>
    <row r="53" spans="1:9">
      <c r="A53" s="8"/>
      <c r="B53" s="31"/>
      <c r="C53" s="8">
        <v>38</v>
      </c>
      <c r="D53" s="24">
        <v>4.8428980195473197E-2</v>
      </c>
      <c r="E53" s="24">
        <v>32.133392333984297</v>
      </c>
      <c r="F53" s="8">
        <v>38</v>
      </c>
      <c r="G53" s="24">
        <v>5.0713573816872401E-2</v>
      </c>
      <c r="H53" s="24">
        <v>33.658611297607401</v>
      </c>
      <c r="I53" s="9"/>
    </row>
    <row r="54" spans="1:9" ht="15" thickBot="1">
      <c r="A54" s="8"/>
      <c r="B54" s="32"/>
      <c r="C54" s="10">
        <v>45</v>
      </c>
      <c r="D54" s="24">
        <v>2.4110243055555501E-2</v>
      </c>
      <c r="E54" s="24">
        <v>30.831844329833899</v>
      </c>
      <c r="F54" s="10">
        <v>45</v>
      </c>
      <c r="G54" s="24">
        <v>2.7667181069958802E-2</v>
      </c>
      <c r="H54" s="24">
        <v>32.590480804443303</v>
      </c>
      <c r="I54" s="2"/>
    </row>
    <row r="55" spans="1:9">
      <c r="A55" s="20" t="s">
        <v>10</v>
      </c>
      <c r="B55" s="30" t="s">
        <v>53</v>
      </c>
      <c r="C55" s="6">
        <v>27</v>
      </c>
      <c r="D55" s="24">
        <v>0.105985243055555</v>
      </c>
      <c r="E55" s="24">
        <v>38.028709411621001</v>
      </c>
      <c r="F55" s="6">
        <v>27</v>
      </c>
      <c r="G55" s="24">
        <v>0.120690425668724</v>
      </c>
      <c r="H55" s="24">
        <v>38.1658325195312</v>
      </c>
      <c r="I55" s="7">
        <f>bdrate($D55:$D58,E55:E58,$G55:$G58,H55:H58)</f>
        <v>7.4570819630845886E-2</v>
      </c>
    </row>
    <row r="56" spans="1:9">
      <c r="A56" s="14" t="s">
        <v>11</v>
      </c>
      <c r="B56" s="31"/>
      <c r="C56" s="8">
        <v>32</v>
      </c>
      <c r="D56" s="24">
        <v>7.3003311471193405E-2</v>
      </c>
      <c r="E56" s="24">
        <v>37.160804748535099</v>
      </c>
      <c r="F56" s="8">
        <v>32</v>
      </c>
      <c r="G56" s="24">
        <v>8.4886027520576099E-2</v>
      </c>
      <c r="H56" s="24">
        <v>37.380504608154297</v>
      </c>
      <c r="I56" s="9"/>
    </row>
    <row r="57" spans="1:9">
      <c r="A57" s="8"/>
      <c r="B57" s="31"/>
      <c r="C57" s="8">
        <v>38</v>
      </c>
      <c r="D57" s="24">
        <v>5.2159529320987601E-2</v>
      </c>
      <c r="E57" s="24">
        <v>36.196834564208899</v>
      </c>
      <c r="F57" s="8">
        <v>38</v>
      </c>
      <c r="G57" s="24">
        <v>6.1204025205761299E-2</v>
      </c>
      <c r="H57" s="24">
        <v>36.458274841308501</v>
      </c>
      <c r="I57" s="9"/>
    </row>
    <row r="58" spans="1:9" ht="15" thickBot="1">
      <c r="A58" s="8"/>
      <c r="B58" s="32"/>
      <c r="C58" s="10">
        <v>45</v>
      </c>
      <c r="D58" s="24">
        <v>3.4141268004115197E-2</v>
      </c>
      <c r="E58" s="24">
        <v>34.663169860839801</v>
      </c>
      <c r="F58" s="10">
        <v>45</v>
      </c>
      <c r="G58" s="24">
        <v>4.0758584104938198E-2</v>
      </c>
      <c r="H58" s="24">
        <v>35.056407928466797</v>
      </c>
      <c r="I58" s="2"/>
    </row>
    <row r="59" spans="1:9">
      <c r="A59" s="8"/>
      <c r="B59" s="30" t="s">
        <v>54</v>
      </c>
      <c r="C59" s="6">
        <v>27</v>
      </c>
      <c r="D59" s="24">
        <v>0.135934284979423</v>
      </c>
      <c r="E59" s="24">
        <v>34.886940002441399</v>
      </c>
      <c r="F59" s="6">
        <v>27</v>
      </c>
      <c r="G59" s="24">
        <v>9.9479488168724206E-2</v>
      </c>
      <c r="H59" s="24">
        <v>35.015670776367102</v>
      </c>
      <c r="I59" s="7">
        <f>bdrate($D59:$D62,E59:E62,$G59:$G62,H59:H62)</f>
        <v>-0.41778781877358417</v>
      </c>
    </row>
    <row r="60" spans="1:9">
      <c r="A60" s="8"/>
      <c r="B60" s="31"/>
      <c r="C60" s="8">
        <v>32</v>
      </c>
      <c r="D60" s="24">
        <v>4.3973765432098702E-2</v>
      </c>
      <c r="E60" s="24">
        <v>33.519859313964801</v>
      </c>
      <c r="F60" s="8">
        <v>32</v>
      </c>
      <c r="G60" s="24">
        <v>5.1975630144032899E-2</v>
      </c>
      <c r="H60" s="24">
        <v>34.433273315429602</v>
      </c>
      <c r="I60" s="9"/>
    </row>
    <row r="61" spans="1:9">
      <c r="A61" s="8"/>
      <c r="B61" s="31"/>
      <c r="C61" s="8">
        <v>38</v>
      </c>
      <c r="D61" s="24">
        <v>2.9875257201646001E-2</v>
      </c>
      <c r="E61" s="24">
        <v>33.008113861083899</v>
      </c>
      <c r="F61" s="8">
        <v>38</v>
      </c>
      <c r="G61" s="24">
        <v>3.5270222479423803E-2</v>
      </c>
      <c r="H61" s="24">
        <v>33.973976135253899</v>
      </c>
      <c r="I61" s="9"/>
    </row>
    <row r="62" spans="1:9" ht="15" thickBot="1">
      <c r="A62" s="8"/>
      <c r="B62" s="32"/>
      <c r="C62" s="10">
        <v>45</v>
      </c>
      <c r="D62" s="24">
        <v>1.87321566358024E-2</v>
      </c>
      <c r="E62" s="24">
        <v>32.2557983398437</v>
      </c>
      <c r="F62" s="10">
        <v>45</v>
      </c>
      <c r="G62" s="24">
        <v>2.2564782664608998E-2</v>
      </c>
      <c r="H62" s="24">
        <v>33.214401245117102</v>
      </c>
      <c r="I62" s="2"/>
    </row>
    <row r="63" spans="1:9">
      <c r="A63" s="8"/>
      <c r="B63" s="30" t="s">
        <v>55</v>
      </c>
      <c r="C63" s="6">
        <v>27</v>
      </c>
      <c r="D63" s="24">
        <v>2.5155446244855901E-2</v>
      </c>
      <c r="E63" s="24">
        <v>40.2514038085937</v>
      </c>
      <c r="F63" s="6">
        <v>27</v>
      </c>
      <c r="G63" s="24">
        <v>2.7128665123456699E-2</v>
      </c>
      <c r="H63" s="24">
        <v>40.517066955566399</v>
      </c>
      <c r="I63" s="7">
        <f>bdrate($D63:$D66,E63:E66,$G63:$G66,H63:H66)</f>
        <v>-7.0288635802954302E-2</v>
      </c>
    </row>
    <row r="64" spans="1:9">
      <c r="A64" s="8"/>
      <c r="B64" s="31"/>
      <c r="C64" s="8">
        <v>32</v>
      </c>
      <c r="D64" s="24">
        <v>1.6693190586419701E-2</v>
      </c>
      <c r="E64" s="24">
        <v>39.735343933105398</v>
      </c>
      <c r="F64" s="8">
        <v>32</v>
      </c>
      <c r="G64" s="24">
        <v>1.9014596193415601E-2</v>
      </c>
      <c r="H64" s="24">
        <v>40.1129760742187</v>
      </c>
      <c r="I64" s="9"/>
    </row>
    <row r="65" spans="1:9">
      <c r="A65" s="8"/>
      <c r="B65" s="31"/>
      <c r="C65" s="8">
        <v>38</v>
      </c>
      <c r="D65" s="24">
        <v>1.17637602880658E-2</v>
      </c>
      <c r="E65" s="24">
        <v>39.163799285888601</v>
      </c>
      <c r="F65" s="8">
        <v>38</v>
      </c>
      <c r="G65" s="24">
        <v>1.3995145318929999E-2</v>
      </c>
      <c r="H65" s="24">
        <v>39.6109809875488</v>
      </c>
      <c r="I65" s="9"/>
    </row>
    <row r="66" spans="1:9" ht="15" thickBot="1">
      <c r="A66" s="8"/>
      <c r="B66" s="32"/>
      <c r="C66" s="10">
        <v>45</v>
      </c>
      <c r="D66" s="24">
        <v>8.1780478395061702E-3</v>
      </c>
      <c r="E66" s="24">
        <v>38.267269134521399</v>
      </c>
      <c r="F66" s="10">
        <v>45</v>
      </c>
      <c r="G66" s="24">
        <v>1.0149980709876501E-2</v>
      </c>
      <c r="H66" s="24">
        <v>38.758083343505803</v>
      </c>
      <c r="I66" s="2"/>
    </row>
    <row r="67" spans="1:9">
      <c r="A67" s="12"/>
      <c r="B67" s="30" t="s">
        <v>56</v>
      </c>
      <c r="C67" s="6">
        <v>27</v>
      </c>
      <c r="D67" s="24">
        <v>0.12506671167695399</v>
      </c>
      <c r="E67" s="24">
        <v>38.245460510253899</v>
      </c>
      <c r="F67" s="6">
        <v>27</v>
      </c>
      <c r="G67" s="24">
        <v>0.128198623971193</v>
      </c>
      <c r="H67" s="24">
        <v>38.193748474121001</v>
      </c>
      <c r="I67" s="7">
        <f>bdrate($D67:$D70,E67:E70,$G67:$G70,H67:H70)</f>
        <v>2.9094670513234222E-2</v>
      </c>
    </row>
    <row r="68" spans="1:9">
      <c r="A68" s="12"/>
      <c r="B68" s="31"/>
      <c r="C68" s="8">
        <v>32</v>
      </c>
      <c r="D68" s="24">
        <v>8.3861882716049302E-2</v>
      </c>
      <c r="E68" s="24">
        <v>37.430423736572202</v>
      </c>
      <c r="F68" s="8">
        <v>32</v>
      </c>
      <c r="G68" s="24">
        <v>8.6046006944444406E-2</v>
      </c>
      <c r="H68" s="24">
        <v>37.399955749511697</v>
      </c>
      <c r="I68" s="9"/>
    </row>
    <row r="69" spans="1:9">
      <c r="A69" s="12"/>
      <c r="B69" s="31"/>
      <c r="C69" s="8">
        <v>38</v>
      </c>
      <c r="D69" s="24">
        <v>5.7628440072016403E-2</v>
      </c>
      <c r="E69" s="24">
        <v>36.478309631347599</v>
      </c>
      <c r="F69" s="8">
        <v>38</v>
      </c>
      <c r="G69" s="24">
        <v>5.9439943415637797E-2</v>
      </c>
      <c r="H69" s="24">
        <v>36.489242553710902</v>
      </c>
      <c r="I69" s="9"/>
    </row>
    <row r="70" spans="1:9" ht="15" thickBot="1">
      <c r="A70" s="12"/>
      <c r="B70" s="32"/>
      <c r="C70" s="10">
        <v>45</v>
      </c>
      <c r="D70" s="24">
        <v>3.5671457047325099E-2</v>
      </c>
      <c r="E70" s="24">
        <v>34.978252410888601</v>
      </c>
      <c r="F70" s="10">
        <v>45</v>
      </c>
      <c r="G70" s="24">
        <v>3.7662680041152197E-2</v>
      </c>
      <c r="H70" s="24">
        <v>35.157989501953097</v>
      </c>
      <c r="I70" s="2"/>
    </row>
    <row r="71" spans="1:9">
      <c r="A71" s="12"/>
      <c r="B71" s="30" t="s">
        <v>57</v>
      </c>
      <c r="C71" s="6">
        <v>27</v>
      </c>
      <c r="D71" s="24">
        <v>9.8962995113168695E-2</v>
      </c>
      <c r="E71" s="24">
        <v>37.1484565734863</v>
      </c>
      <c r="F71" s="6">
        <v>27</v>
      </c>
      <c r="G71" s="24">
        <v>0.11740338863168701</v>
      </c>
      <c r="H71" s="24">
        <v>38.263099670410099</v>
      </c>
      <c r="I71" s="7">
        <f>bdrate($D71:$D74,E71:E74,$G71:$G74,H71:H74)</f>
        <v>-9.8609741602477929E-2</v>
      </c>
    </row>
    <row r="72" spans="1:9">
      <c r="A72" s="12"/>
      <c r="B72" s="31"/>
      <c r="C72" s="8">
        <v>32</v>
      </c>
      <c r="D72" s="24">
        <v>6.9021508487654301E-2</v>
      </c>
      <c r="E72" s="24">
        <v>36.100135803222599</v>
      </c>
      <c r="F72" s="8">
        <v>32</v>
      </c>
      <c r="G72" s="24">
        <v>8.47701260288065E-2</v>
      </c>
      <c r="H72" s="24">
        <v>37.287319183349602</v>
      </c>
      <c r="I72" s="9"/>
    </row>
    <row r="73" spans="1:9">
      <c r="A73" s="12"/>
      <c r="B73" s="31"/>
      <c r="C73" s="8">
        <v>38</v>
      </c>
      <c r="D73" s="24">
        <v>4.9227912808641902E-2</v>
      </c>
      <c r="E73" s="24">
        <v>34.989128112792898</v>
      </c>
      <c r="F73" s="8">
        <v>38</v>
      </c>
      <c r="G73" s="24">
        <v>6.2339731224279799E-2</v>
      </c>
      <c r="H73" s="24">
        <v>36.178359985351499</v>
      </c>
      <c r="I73" s="9"/>
    </row>
    <row r="74" spans="1:9" ht="15" thickBot="1">
      <c r="B74" s="32"/>
      <c r="C74" s="10">
        <v>45</v>
      </c>
      <c r="D74" s="24">
        <v>3.2488104423868298E-2</v>
      </c>
      <c r="E74" s="24">
        <v>33.334487915038999</v>
      </c>
      <c r="F74" s="10">
        <v>45</v>
      </c>
      <c r="G74" s="24">
        <v>4.1776298868312703E-2</v>
      </c>
      <c r="H74" s="24">
        <v>34.4571533203125</v>
      </c>
      <c r="I74" s="2"/>
    </row>
    <row r="75" spans="1:9">
      <c r="B75" s="30" t="s">
        <v>58</v>
      </c>
      <c r="C75" s="6">
        <v>27</v>
      </c>
      <c r="D75" s="24">
        <v>0.124627861368312</v>
      </c>
      <c r="E75" s="24">
        <v>39.451332092285099</v>
      </c>
      <c r="F75" s="6">
        <v>27</v>
      </c>
      <c r="G75" s="24">
        <v>0.16820183899176899</v>
      </c>
      <c r="H75" s="24">
        <v>39.459442138671797</v>
      </c>
      <c r="I75" s="7">
        <f>bdrate($D75:$D78,E75:E78,$G75:$G78,H75:H78)</f>
        <v>0.36997380258645807</v>
      </c>
    </row>
    <row r="76" spans="1:9">
      <c r="B76" s="31"/>
      <c r="C76" s="8">
        <v>32</v>
      </c>
      <c r="D76" s="24">
        <v>8.9543627829218098E-2</v>
      </c>
      <c r="E76" s="24">
        <v>38.255058288574197</v>
      </c>
      <c r="F76" s="8">
        <v>32</v>
      </c>
      <c r="G76" s="24">
        <v>0.121653002829218</v>
      </c>
      <c r="H76" s="24">
        <v>38.249050140380803</v>
      </c>
      <c r="I76" s="9"/>
    </row>
    <row r="77" spans="1:9">
      <c r="B77" s="31"/>
      <c r="C77" s="8">
        <v>38</v>
      </c>
      <c r="D77" s="24">
        <v>6.5008198302469095E-2</v>
      </c>
      <c r="E77" s="24">
        <v>36.981357574462798</v>
      </c>
      <c r="F77" s="8">
        <v>38</v>
      </c>
      <c r="G77" s="24">
        <v>8.7810731738683104E-2</v>
      </c>
      <c r="H77" s="24">
        <v>36.886405944824197</v>
      </c>
      <c r="I77" s="9"/>
    </row>
    <row r="78" spans="1:9" ht="15" thickBot="1">
      <c r="B78" s="32"/>
      <c r="C78" s="10">
        <v>45</v>
      </c>
      <c r="D78" s="24">
        <v>4.3115676440329202E-2</v>
      </c>
      <c r="E78" s="24">
        <v>35.170646667480398</v>
      </c>
      <c r="F78" s="10">
        <v>45</v>
      </c>
      <c r="G78" s="24">
        <v>5.7316583076131598E-2</v>
      </c>
      <c r="H78" s="24">
        <v>35.031982421875</v>
      </c>
      <c r="I78" s="2"/>
    </row>
    <row r="79" spans="1:9">
      <c r="B79" s="30" t="s">
        <v>59</v>
      </c>
      <c r="C79" s="6">
        <v>27</v>
      </c>
      <c r="D79" s="24">
        <v>0.16565715020576099</v>
      </c>
      <c r="E79" s="24">
        <v>39.842124938964801</v>
      </c>
      <c r="F79" s="6">
        <v>27</v>
      </c>
      <c r="G79" s="24">
        <v>0.17615049511316799</v>
      </c>
      <c r="H79" s="24">
        <v>40.108150482177699</v>
      </c>
      <c r="I79" s="7">
        <f>bdrate($D79:$D82,E79:E82,$G79:$G82,H79:H82)</f>
        <v>-6.7486694176172035E-3</v>
      </c>
    </row>
    <row r="80" spans="1:9">
      <c r="B80" s="31"/>
      <c r="C80" s="8">
        <v>32</v>
      </c>
      <c r="D80" s="24">
        <v>0.12503793724279799</v>
      </c>
      <c r="E80" s="24">
        <v>38.816192626953097</v>
      </c>
      <c r="F80" s="8">
        <v>32</v>
      </c>
      <c r="G80" s="24">
        <v>0.132068222736625</v>
      </c>
      <c r="H80" s="24">
        <v>39.074150085449197</v>
      </c>
      <c r="I80" s="9"/>
    </row>
    <row r="81" spans="2:9">
      <c r="B81" s="31"/>
      <c r="C81" s="8">
        <v>38</v>
      </c>
      <c r="D81" s="24">
        <v>9.3702096193415602E-2</v>
      </c>
      <c r="E81" s="24">
        <v>37.638572692871001</v>
      </c>
      <c r="F81" s="8">
        <v>38</v>
      </c>
      <c r="G81" s="24">
        <v>9.8515785751028803E-2</v>
      </c>
      <c r="H81" s="24">
        <v>37.878307342529297</v>
      </c>
      <c r="I81" s="9"/>
    </row>
    <row r="82" spans="2:9" ht="15" thickBot="1">
      <c r="B82" s="32"/>
      <c r="C82" s="10">
        <v>45</v>
      </c>
      <c r="D82" s="24">
        <v>6.3716563786008207E-2</v>
      </c>
      <c r="E82" s="24">
        <v>35.917510986328097</v>
      </c>
      <c r="F82" s="10">
        <v>45</v>
      </c>
      <c r="G82" s="24">
        <v>6.73148148148148E-2</v>
      </c>
      <c r="H82" s="24">
        <v>36.147438049316399</v>
      </c>
      <c r="I82" s="2"/>
    </row>
    <row r="83" spans="2:9">
      <c r="B83" s="30" t="s">
        <v>60</v>
      </c>
      <c r="C83" s="6">
        <v>27</v>
      </c>
      <c r="D83" s="24">
        <v>5.7611400462962897E-2</v>
      </c>
      <c r="E83" s="24">
        <v>43.569515228271399</v>
      </c>
      <c r="F83" s="6">
        <v>27</v>
      </c>
      <c r="G83" s="24">
        <v>6.1236979166666601E-2</v>
      </c>
      <c r="H83" s="24">
        <v>43.531322479247997</v>
      </c>
      <c r="I83" s="7">
        <f>bdrate($D83:$D86,E83:E86,$G83:$G86,H83:H86)</f>
        <v>9.7001608750184376E-2</v>
      </c>
    </row>
    <row r="84" spans="2:9">
      <c r="B84" s="31"/>
      <c r="C84" s="8">
        <v>32</v>
      </c>
      <c r="D84" s="24">
        <v>4.2141042952674797E-2</v>
      </c>
      <c r="E84" s="24">
        <v>42.906608581542898</v>
      </c>
      <c r="F84" s="8">
        <v>32</v>
      </c>
      <c r="G84" s="24">
        <v>4.4767071759259203E-2</v>
      </c>
      <c r="H84" s="24">
        <v>42.831069946288999</v>
      </c>
      <c r="I84" s="9"/>
    </row>
    <row r="85" spans="2:9">
      <c r="B85" s="31"/>
      <c r="C85" s="8">
        <v>38</v>
      </c>
      <c r="D85" s="24">
        <v>3.0999871399176902E-2</v>
      </c>
      <c r="E85" s="24">
        <v>42.093547821044901</v>
      </c>
      <c r="F85" s="8">
        <v>38</v>
      </c>
      <c r="G85" s="24">
        <v>3.3039801954732502E-2</v>
      </c>
      <c r="H85" s="24">
        <v>42.005828857421797</v>
      </c>
      <c r="I85" s="9"/>
    </row>
    <row r="86" spans="2:9" ht="15" thickBot="1">
      <c r="B86" s="32"/>
      <c r="C86" s="10">
        <v>45</v>
      </c>
      <c r="D86" s="24">
        <v>2.1138438786008198E-2</v>
      </c>
      <c r="E86" s="24">
        <v>40.818977355957003</v>
      </c>
      <c r="F86" s="10">
        <v>45</v>
      </c>
      <c r="G86" s="24">
        <v>2.2706404320987601E-2</v>
      </c>
      <c r="H86" s="24">
        <v>40.719429016113203</v>
      </c>
      <c r="I86" s="2"/>
    </row>
    <row r="87" spans="2:9">
      <c r="B87" s="30" t="s">
        <v>61</v>
      </c>
      <c r="C87" s="6">
        <v>27</v>
      </c>
      <c r="D87" s="24">
        <v>0.22396283436213901</v>
      </c>
      <c r="E87" s="24">
        <v>40.347274780273402</v>
      </c>
      <c r="F87" s="6">
        <v>27</v>
      </c>
      <c r="G87" s="24">
        <v>0.23652070473251</v>
      </c>
      <c r="H87" s="24">
        <v>40.308177947997997</v>
      </c>
      <c r="I87" s="7">
        <f>bdrate($D87:$D90,E87:E90,$G87:$G90,H87:H90)</f>
        <v>7.9906327342378569E-2</v>
      </c>
    </row>
    <row r="88" spans="2:9">
      <c r="B88" s="31"/>
      <c r="C88" s="8">
        <v>32</v>
      </c>
      <c r="D88" s="24">
        <v>0.16452723122427901</v>
      </c>
      <c r="E88" s="24">
        <v>39.278480529785099</v>
      </c>
      <c r="F88" s="8">
        <v>32</v>
      </c>
      <c r="G88" s="24">
        <v>0.174662422839506</v>
      </c>
      <c r="H88" s="24">
        <v>39.229785919189403</v>
      </c>
      <c r="I88" s="9"/>
    </row>
    <row r="89" spans="2:9">
      <c r="B89" s="31"/>
      <c r="C89" s="8">
        <v>38</v>
      </c>
      <c r="D89" s="24">
        <v>0.12142328960905301</v>
      </c>
      <c r="E89" s="24">
        <v>38.060020446777301</v>
      </c>
      <c r="F89" s="8">
        <v>38</v>
      </c>
      <c r="G89" s="24">
        <v>0.12930009002057599</v>
      </c>
      <c r="H89" s="24">
        <v>37.991065979003899</v>
      </c>
      <c r="I89" s="9"/>
    </row>
    <row r="90" spans="2:9" ht="15" thickBot="1">
      <c r="B90" s="32"/>
      <c r="C90" s="10">
        <v>45</v>
      </c>
      <c r="D90" s="24">
        <v>8.1972575874485601E-2</v>
      </c>
      <c r="E90" s="24">
        <v>36.271278381347599</v>
      </c>
      <c r="F90" s="10">
        <v>45</v>
      </c>
      <c r="G90" s="24">
        <v>8.7682130915637799E-2</v>
      </c>
      <c r="H90" s="24">
        <v>36.188491821288999</v>
      </c>
      <c r="I90" s="2"/>
    </row>
    <row r="91" spans="2:9">
      <c r="B91" s="30" t="s">
        <v>62</v>
      </c>
      <c r="C91" s="6">
        <v>27</v>
      </c>
      <c r="D91" s="24">
        <v>7.4611786265431995E-2</v>
      </c>
      <c r="E91" s="24">
        <v>40.736335754394503</v>
      </c>
      <c r="F91" s="6">
        <v>27</v>
      </c>
      <c r="G91" s="24">
        <v>8.2218364197530799E-2</v>
      </c>
      <c r="H91" s="24">
        <v>41.042400360107401</v>
      </c>
      <c r="I91" s="7">
        <f>bdrate($D91:$D94,E91:E94,$G91:$G94,H91:H94)</f>
        <v>1.6940418268980295E-2</v>
      </c>
    </row>
    <row r="92" spans="2:9">
      <c r="B92" s="31"/>
      <c r="C92" s="8">
        <v>32</v>
      </c>
      <c r="D92" s="24">
        <v>5.1422485853909398E-2</v>
      </c>
      <c r="E92" s="24">
        <v>39.7678833007812</v>
      </c>
      <c r="F92" s="8">
        <v>32</v>
      </c>
      <c r="G92" s="24">
        <v>5.8302147633744798E-2</v>
      </c>
      <c r="H92" s="24">
        <v>40.141811370849602</v>
      </c>
      <c r="I92" s="9"/>
    </row>
    <row r="93" spans="2:9">
      <c r="B93" s="31"/>
      <c r="C93" s="8">
        <v>38</v>
      </c>
      <c r="D93" s="24">
        <v>3.60664223251028E-2</v>
      </c>
      <c r="E93" s="24">
        <v>38.651775360107401</v>
      </c>
      <c r="F93" s="8">
        <v>38</v>
      </c>
      <c r="G93" s="24">
        <v>4.14912872942386E-2</v>
      </c>
      <c r="H93" s="24">
        <v>39.050697326660099</v>
      </c>
      <c r="I93" s="9"/>
    </row>
    <row r="94" spans="2:9" ht="15" thickBot="1">
      <c r="B94" s="32"/>
      <c r="C94" s="10">
        <v>45</v>
      </c>
      <c r="D94" s="24">
        <v>2.3099762088477301E-2</v>
      </c>
      <c r="E94" s="24">
        <v>36.881729125976499</v>
      </c>
      <c r="F94" s="10">
        <v>45</v>
      </c>
      <c r="G94" s="24">
        <v>2.7194251543209799E-2</v>
      </c>
      <c r="H94" s="24">
        <v>37.382217407226499</v>
      </c>
      <c r="I94" s="2"/>
    </row>
    <row r="95" spans="2:9">
      <c r="B95" s="30" t="s">
        <v>63</v>
      </c>
      <c r="C95" s="6">
        <v>27</v>
      </c>
      <c r="D95" s="24">
        <v>8.3591017232510195E-2</v>
      </c>
      <c r="E95" s="24">
        <v>39.855461120605398</v>
      </c>
      <c r="F95" s="6">
        <v>27</v>
      </c>
      <c r="G95" s="24">
        <v>9.2328639403292098E-2</v>
      </c>
      <c r="H95" s="24">
        <v>39.927944183349602</v>
      </c>
      <c r="I95" s="7">
        <f>bdrate($D95:$D98,E95:E98,$G95:$G98,H95:H98)</f>
        <v>7.6215672236889187E-2</v>
      </c>
    </row>
    <row r="96" spans="2:9">
      <c r="B96" s="31"/>
      <c r="C96" s="8">
        <v>32</v>
      </c>
      <c r="D96" s="24">
        <v>5.62882587448559E-2</v>
      </c>
      <c r="E96" s="24">
        <v>39.094749450683501</v>
      </c>
      <c r="F96" s="8">
        <v>32</v>
      </c>
      <c r="G96" s="24">
        <v>6.3734246399176894E-2</v>
      </c>
      <c r="H96" s="24">
        <v>39.231559753417898</v>
      </c>
      <c r="I96" s="9"/>
    </row>
    <row r="97" spans="2:9">
      <c r="B97" s="31"/>
      <c r="C97" s="8">
        <v>38</v>
      </c>
      <c r="D97" s="24">
        <v>3.8945955504115198E-2</v>
      </c>
      <c r="E97" s="24">
        <v>38.219619750976499</v>
      </c>
      <c r="F97" s="8">
        <v>38</v>
      </c>
      <c r="G97" s="24">
        <v>4.5003536522633697E-2</v>
      </c>
      <c r="H97" s="24">
        <v>38.402313232421797</v>
      </c>
      <c r="I97" s="9"/>
    </row>
    <row r="98" spans="2:9" ht="15" thickBot="1">
      <c r="B98" s="32"/>
      <c r="C98" s="10">
        <v>45</v>
      </c>
      <c r="D98" s="24">
        <v>2.4877989969135799E-2</v>
      </c>
      <c r="E98" s="24">
        <v>36.834526062011697</v>
      </c>
      <c r="F98" s="10">
        <v>45</v>
      </c>
      <c r="G98" s="24">
        <v>2.9455054012345602E-2</v>
      </c>
      <c r="H98" s="24">
        <v>37.084419250488203</v>
      </c>
      <c r="I98" s="2"/>
    </row>
    <row r="99" spans="2:9">
      <c r="B99" s="30" t="s">
        <v>64</v>
      </c>
      <c r="C99" s="6">
        <v>27</v>
      </c>
      <c r="D99" s="24">
        <v>0.48038451646090502</v>
      </c>
      <c r="E99" s="24">
        <v>33.837043762207003</v>
      </c>
      <c r="F99" s="6">
        <v>27</v>
      </c>
      <c r="G99" s="24">
        <v>0.46445826903292098</v>
      </c>
      <c r="H99" s="24">
        <v>33.922080993652301</v>
      </c>
      <c r="I99" s="7">
        <f>bdrate($D99:$D102,E99:E102,$G99:$G102,H99:H102)</f>
        <v>-0.10013693673929058</v>
      </c>
    </row>
    <row r="100" spans="2:9">
      <c r="B100" s="31"/>
      <c r="C100" s="8">
        <v>32</v>
      </c>
      <c r="D100" s="24">
        <v>0.35799784593621398</v>
      </c>
      <c r="E100" s="24">
        <v>33.136146545410099</v>
      </c>
      <c r="F100" s="8">
        <v>32</v>
      </c>
      <c r="G100" s="24">
        <v>0.34475180041152198</v>
      </c>
      <c r="H100" s="24">
        <v>33.264488220214801</v>
      </c>
      <c r="I100" s="9"/>
    </row>
    <row r="101" spans="2:9">
      <c r="B101" s="31"/>
      <c r="C101" s="8">
        <v>38</v>
      </c>
      <c r="D101" s="24">
        <v>0.25841322659464999</v>
      </c>
      <c r="E101" s="24">
        <v>32.194644927978501</v>
      </c>
      <c r="F101" s="8">
        <v>38</v>
      </c>
      <c r="G101" s="24">
        <v>0.248922485853909</v>
      </c>
      <c r="H101" s="24">
        <v>32.401039123535099</v>
      </c>
      <c r="I101" s="9"/>
    </row>
    <row r="102" spans="2:9" ht="15" thickBot="1">
      <c r="B102" s="32"/>
      <c r="C102" s="10">
        <v>45</v>
      </c>
      <c r="D102" s="24">
        <v>0.15983378343621399</v>
      </c>
      <c r="E102" s="24">
        <v>30.586408615112301</v>
      </c>
      <c r="F102" s="10">
        <v>45</v>
      </c>
      <c r="G102" s="24">
        <v>0.15341354809670699</v>
      </c>
      <c r="H102" s="24">
        <v>30.919324874877901</v>
      </c>
      <c r="I102" s="2"/>
    </row>
    <row r="103" spans="2:9">
      <c r="B103" s="30" t="s">
        <v>65</v>
      </c>
      <c r="C103" s="6">
        <v>27</v>
      </c>
      <c r="D103" s="24">
        <v>6.9207175925925901E-2</v>
      </c>
      <c r="E103" s="24">
        <v>40.854652404785099</v>
      </c>
      <c r="F103" s="6">
        <v>27</v>
      </c>
      <c r="G103" s="24">
        <v>7.2610757458847694E-2</v>
      </c>
      <c r="H103" s="24">
        <v>41.089630126953097</v>
      </c>
      <c r="I103" s="7">
        <f>bdrate($D103:$D106,E103:E106,$G103:$G106,H103:H106)</f>
        <v>-3.3217410980789563E-2</v>
      </c>
    </row>
    <row r="104" spans="2:9">
      <c r="B104" s="31"/>
      <c r="C104" s="8">
        <v>32</v>
      </c>
      <c r="D104" s="24">
        <v>5.0949074074074001E-2</v>
      </c>
      <c r="E104" s="24">
        <v>40.158332824707003</v>
      </c>
      <c r="F104" s="8">
        <v>32</v>
      </c>
      <c r="G104" s="24">
        <v>5.3548578960905299E-2</v>
      </c>
      <c r="H104" s="24">
        <v>40.4046020507812</v>
      </c>
      <c r="I104" s="9"/>
    </row>
    <row r="105" spans="2:9">
      <c r="B105" s="31"/>
      <c r="C105" s="8">
        <v>38</v>
      </c>
      <c r="D105" s="24">
        <v>3.8028549382716E-2</v>
      </c>
      <c r="E105" s="24">
        <v>39.306640625</v>
      </c>
      <c r="F105" s="8">
        <v>38</v>
      </c>
      <c r="G105" s="24">
        <v>4.0159947273662497E-2</v>
      </c>
      <c r="H105" s="24">
        <v>39.5802612304687</v>
      </c>
      <c r="I105" s="9"/>
    </row>
    <row r="106" spans="2:9" ht="15" thickBot="1">
      <c r="B106" s="32"/>
      <c r="C106" s="10">
        <v>45</v>
      </c>
      <c r="D106" s="24">
        <v>2.6430362654320898E-2</v>
      </c>
      <c r="E106" s="24">
        <v>37.912590026855398</v>
      </c>
      <c r="F106" s="10">
        <v>45</v>
      </c>
      <c r="G106" s="24">
        <v>2.8222575874485501E-2</v>
      </c>
      <c r="H106" s="24">
        <v>38.246734619140597</v>
      </c>
      <c r="I106" s="2"/>
    </row>
    <row r="107" spans="2:9">
      <c r="B107" s="30" t="s">
        <v>66</v>
      </c>
      <c r="C107" s="6">
        <v>27</v>
      </c>
      <c r="D107" s="24">
        <v>0.13865081661522599</v>
      </c>
      <c r="E107" s="24">
        <v>39.349666595458899</v>
      </c>
      <c r="F107" s="6">
        <v>27</v>
      </c>
      <c r="G107" s="24">
        <v>0.13323431069958799</v>
      </c>
      <c r="H107" s="24">
        <v>40.248794555663999</v>
      </c>
      <c r="I107" s="7">
        <f>bdrate($D107:$D110,E107:E110,$G107:$G110,H107:H110)</f>
        <v>-0.29807008281402647</v>
      </c>
    </row>
    <row r="108" spans="2:9">
      <c r="B108" s="31"/>
      <c r="C108" s="8">
        <v>32</v>
      </c>
      <c r="D108" s="24">
        <v>9.43968621399177E-2</v>
      </c>
      <c r="E108" s="24">
        <v>37.855991363525298</v>
      </c>
      <c r="F108" s="8">
        <v>32</v>
      </c>
      <c r="G108" s="24">
        <v>8.9662262088477301E-2</v>
      </c>
      <c r="H108" s="24">
        <v>38.9235229492187</v>
      </c>
      <c r="I108" s="9"/>
    </row>
    <row r="109" spans="2:9">
      <c r="B109" s="31"/>
      <c r="C109" s="8">
        <v>38</v>
      </c>
      <c r="D109" s="24">
        <v>6.41665059156378E-2</v>
      </c>
      <c r="E109" s="24">
        <v>36.396522521972599</v>
      </c>
      <c r="F109" s="8">
        <v>38</v>
      </c>
      <c r="G109" s="24">
        <v>6.0592367541152201E-2</v>
      </c>
      <c r="H109" s="24">
        <v>37.535274505615199</v>
      </c>
      <c r="I109" s="9"/>
    </row>
    <row r="110" spans="2:9" ht="15" thickBot="1">
      <c r="B110" s="32"/>
      <c r="C110" s="10">
        <v>45</v>
      </c>
      <c r="D110" s="24">
        <v>3.78036586934156E-2</v>
      </c>
      <c r="E110" s="24">
        <v>34.392807006835902</v>
      </c>
      <c r="F110" s="10">
        <v>45</v>
      </c>
      <c r="G110" s="24">
        <v>3.6075745884773601E-2</v>
      </c>
      <c r="H110" s="24">
        <v>35.628265380859297</v>
      </c>
      <c r="I110" s="2"/>
    </row>
    <row r="111" spans="2:9">
      <c r="B111" s="30" t="s">
        <v>67</v>
      </c>
      <c r="C111" s="6">
        <v>27</v>
      </c>
      <c r="D111" s="24">
        <v>2.8568029835390901E-2</v>
      </c>
      <c r="E111" s="24">
        <v>40.854263305663999</v>
      </c>
      <c r="F111" s="6">
        <v>27</v>
      </c>
      <c r="G111" s="24">
        <v>2.3391203703703699E-2</v>
      </c>
      <c r="H111" s="24">
        <v>41.578239440917898</v>
      </c>
      <c r="I111" s="7">
        <f>bdrate($D111:$D114,E111:E114,$G111:$G114,H111:H114)</f>
        <v>-0.45838294097212584</v>
      </c>
    </row>
    <row r="112" spans="2:9">
      <c r="B112" s="31"/>
      <c r="C112" s="8">
        <v>32</v>
      </c>
      <c r="D112" s="24">
        <v>2.0124421296296199E-2</v>
      </c>
      <c r="E112" s="24">
        <v>40.099376678466797</v>
      </c>
      <c r="F112" s="8">
        <v>32</v>
      </c>
      <c r="G112" s="24">
        <v>1.6462191358024601E-2</v>
      </c>
      <c r="H112" s="24">
        <v>41.065780639648402</v>
      </c>
      <c r="I112" s="9"/>
    </row>
    <row r="113" spans="1:9">
      <c r="B113" s="31"/>
      <c r="C113" s="8">
        <v>38</v>
      </c>
      <c r="D113" s="24">
        <v>1.47571051954732E-2</v>
      </c>
      <c r="E113" s="24">
        <v>39.223278045654297</v>
      </c>
      <c r="F113" s="8">
        <v>38</v>
      </c>
      <c r="G113" s="24">
        <v>1.2261123971193401E-2</v>
      </c>
      <c r="H113" s="24">
        <v>40.438079833984297</v>
      </c>
      <c r="I113" s="9"/>
    </row>
    <row r="114" spans="1:9" ht="15" thickBot="1">
      <c r="B114" s="32"/>
      <c r="C114" s="10">
        <v>45</v>
      </c>
      <c r="D114" s="24">
        <v>1.0399787808641901E-2</v>
      </c>
      <c r="E114" s="24">
        <v>37.878963470458899</v>
      </c>
      <c r="F114" s="10">
        <v>45</v>
      </c>
      <c r="G114" s="24">
        <v>8.8885673868312701E-3</v>
      </c>
      <c r="H114" s="24">
        <v>39.339603424072202</v>
      </c>
      <c r="I114" s="2"/>
    </row>
    <row r="115" spans="1:9">
      <c r="B115" s="30" t="s">
        <v>68</v>
      </c>
      <c r="C115" s="6">
        <v>27</v>
      </c>
      <c r="D115" s="24">
        <v>6.8116640946502003E-3</v>
      </c>
      <c r="E115" s="24">
        <v>44.039024353027301</v>
      </c>
      <c r="F115" s="6">
        <v>27</v>
      </c>
      <c r="G115" s="24">
        <v>6.6751864711934103E-3</v>
      </c>
      <c r="H115" s="24">
        <v>44.665855407714801</v>
      </c>
      <c r="I115" s="7">
        <f>bdrate($D115:$D118,E115:E118,$G115:$G118,H115:H118)</f>
        <v>-0.29615001086228576</v>
      </c>
    </row>
    <row r="116" spans="1:9">
      <c r="B116" s="31"/>
      <c r="C116" s="8">
        <v>32</v>
      </c>
      <c r="D116" s="24">
        <v>5.0835905349794199E-3</v>
      </c>
      <c r="E116" s="24">
        <v>43.620719909667898</v>
      </c>
      <c r="F116" s="8">
        <v>32</v>
      </c>
      <c r="G116" s="24">
        <v>4.9691358024691297E-3</v>
      </c>
      <c r="H116" s="24">
        <v>44.382011413574197</v>
      </c>
      <c r="I116" s="9"/>
    </row>
    <row r="117" spans="1:9">
      <c r="B117" s="31"/>
      <c r="C117" s="8">
        <v>38</v>
      </c>
      <c r="D117" s="24">
        <v>4.0985082304526698E-3</v>
      </c>
      <c r="E117" s="24">
        <v>43.123077392578097</v>
      </c>
      <c r="F117" s="8">
        <v>38</v>
      </c>
      <c r="G117" s="24">
        <v>4.0477109053497903E-3</v>
      </c>
      <c r="H117" s="24">
        <v>44.025524139404297</v>
      </c>
      <c r="I117" s="9"/>
    </row>
    <row r="118" spans="1:9" ht="15" thickBot="1">
      <c r="B118" s="32"/>
      <c r="C118" s="10">
        <v>45</v>
      </c>
      <c r="D118" s="24">
        <v>3.6003407921810699E-3</v>
      </c>
      <c r="E118" s="24">
        <v>42.237274169921797</v>
      </c>
      <c r="F118" s="10">
        <v>45</v>
      </c>
      <c r="G118" s="24">
        <v>3.6347415123456702E-3</v>
      </c>
      <c r="H118" s="24">
        <v>43.353206634521399</v>
      </c>
      <c r="I118" s="2"/>
    </row>
    <row r="119" spans="1:9">
      <c r="B119" s="30" t="s">
        <v>69</v>
      </c>
      <c r="C119" s="6">
        <v>27</v>
      </c>
      <c r="D119" s="24">
        <v>1.8240258487654301E-2</v>
      </c>
      <c r="E119" s="24">
        <v>38.139328002929602</v>
      </c>
      <c r="F119" s="6">
        <v>27</v>
      </c>
      <c r="G119" s="24">
        <v>1.87041859567901E-2</v>
      </c>
      <c r="H119" s="24">
        <v>38.613231658935497</v>
      </c>
      <c r="I119" s="7">
        <f>bdrate($D119:$D122,E119:E122,$G119:$G122,H119:H122)</f>
        <v>-0.40383860557095541</v>
      </c>
    </row>
    <row r="120" spans="1:9">
      <c r="B120" s="31"/>
      <c r="C120" s="8">
        <v>32</v>
      </c>
      <c r="D120" s="24">
        <v>1.31240354938271E-2</v>
      </c>
      <c r="E120" s="24">
        <v>37.869365692138601</v>
      </c>
      <c r="F120" s="8">
        <v>32</v>
      </c>
      <c r="G120" s="24">
        <v>1.29644097222222E-2</v>
      </c>
      <c r="H120" s="24">
        <v>38.401908874511697</v>
      </c>
      <c r="I120" s="9"/>
    </row>
    <row r="121" spans="1:9">
      <c r="B121" s="31"/>
      <c r="C121" s="8">
        <v>38</v>
      </c>
      <c r="D121" s="24">
        <v>9.67689043209876E-3</v>
      </c>
      <c r="E121" s="24">
        <v>37.529048919677699</v>
      </c>
      <c r="F121" s="8">
        <v>38</v>
      </c>
      <c r="G121" s="24">
        <v>9.4974922839506093E-3</v>
      </c>
      <c r="H121" s="24">
        <v>38.127548217773402</v>
      </c>
      <c r="I121" s="9"/>
    </row>
    <row r="122" spans="1:9" ht="15" thickBot="1">
      <c r="B122" s="32"/>
      <c r="C122" s="10">
        <v>45</v>
      </c>
      <c r="D122" s="24">
        <v>6.8574781378600803E-3</v>
      </c>
      <c r="E122" s="24">
        <v>36.840423583984297</v>
      </c>
      <c r="F122" s="10">
        <v>45</v>
      </c>
      <c r="G122" s="24">
        <v>6.6481802983538998E-3</v>
      </c>
      <c r="H122" s="24">
        <v>37.561382293701101</v>
      </c>
      <c r="I122" s="2"/>
    </row>
    <row r="123" spans="1:9" ht="15" thickBot="1">
      <c r="A123" s="11"/>
      <c r="B123" s="4" t="s">
        <v>2</v>
      </c>
      <c r="C123" s="18"/>
      <c r="D123" s="11"/>
      <c r="E123" s="18"/>
      <c r="F123" s="18"/>
      <c r="G123" s="11"/>
      <c r="H123" s="18"/>
      <c r="I123" s="19">
        <f>AVERAGE(I3:I122)</f>
        <v>-9.3092839640978545E-2</v>
      </c>
    </row>
    <row r="124" spans="1:9" ht="15" thickBot="1"/>
    <row r="125" spans="1:9">
      <c r="B125" t="s">
        <v>70</v>
      </c>
      <c r="D125">
        <f>AVERAGE(D3,D7,D11,D15,D19,D23,D27,D31,D35,D39,D43,D47,D51,D55,D59,D63,D67,D71,D75,D79,D83,D87,D91,D95,D99,D103,D107,D111,D115,D119)</f>
        <v>0.13422426911865537</v>
      </c>
      <c r="E125">
        <f>AVERAGE(E3,E7,E11,E15,E19,E23,E27,E31,E35,E39,E43,E47,E51,E55,E59,E63,E67,E71,E75,E79,E83,E87,E91,E95,E99,E103,E107,E111,E115,E119)</f>
        <v>38.437385050455688</v>
      </c>
      <c r="G125">
        <f>AVERAGE(G3,G7,G11,G15,G19,G23,G27,G31,G35,G39,G43,G47,G51,G55,G59,G63,G67,G71,G75,G79,G83,G87,G91,G95,G99,G103,G107,G111,G115,G119)</f>
        <v>0.14330900098593932</v>
      </c>
      <c r="H125">
        <f>AVERAGE(H3,H7,H11,H15,H19,H23,H27,H31,H35,H39,H43,H47,H51,H55,H59,H63,H67,H71,H75,H79,H83,H87,H91,H95,H99,H103,H107,H111,H115,H119)</f>
        <v>38.765129280090292</v>
      </c>
      <c r="I125" s="7">
        <f>bdrate($D125:$D128,E125:E128,$G125:$G128,H125:H128)</f>
        <v>-0.10708645118922799</v>
      </c>
    </row>
    <row r="126" spans="1:9">
      <c r="D126">
        <f t="shared" ref="D126:E128" si="0">AVERAGE(D4,D8,D12,D16,D20,D24,D28,D32,D36,D40,D44,D48,D52,D56,D60,D64,D68,D72,D76,D80,D84,D88,D92,D96,D100,D104,D108,D112,D116,D120)</f>
        <v>9.1119620198902448E-2</v>
      </c>
      <c r="E126">
        <f t="shared" si="0"/>
        <v>37.588327980041441</v>
      </c>
      <c r="G126">
        <f t="shared" ref="G126:H128" si="1">AVERAGE(G4,G8,G12,G16,G20,G24,G28,G32,G36,G40,G44,G48,G52,G56,G60,G64,G68,G72,G76,G80,G84,G88,G92,G96,G100,G104,G108,G112,G116,G120)</f>
        <v>9.6686396176268688E-2</v>
      </c>
      <c r="H126">
        <f t="shared" si="1"/>
        <v>38.00950533548987</v>
      </c>
    </row>
    <row r="127" spans="1:9">
      <c r="D127">
        <f t="shared" si="0"/>
        <v>6.4295647933813288E-2</v>
      </c>
      <c r="E127">
        <f t="shared" si="0"/>
        <v>36.699231719970662</v>
      </c>
      <c r="G127">
        <f t="shared" si="1"/>
        <v>6.8777767061042397E-2</v>
      </c>
      <c r="H127">
        <f t="shared" si="1"/>
        <v>37.176969591776491</v>
      </c>
    </row>
    <row r="128" spans="1:9">
      <c r="D128">
        <f t="shared" si="0"/>
        <v>4.1095320001714633E-2</v>
      </c>
      <c r="E128">
        <f t="shared" si="0"/>
        <v>35.35101706186925</v>
      </c>
      <c r="G128">
        <f t="shared" si="1"/>
        <v>4.4586050025720074E-2</v>
      </c>
      <c r="H128">
        <f t="shared" si="1"/>
        <v>35.916207377115839</v>
      </c>
    </row>
  </sheetData>
  <mergeCells count="32">
    <mergeCell ref="B39:B42"/>
    <mergeCell ref="D1:E1"/>
    <mergeCell ref="G1:H1"/>
    <mergeCell ref="B3:B6"/>
    <mergeCell ref="B7:B10"/>
    <mergeCell ref="B11:B14"/>
    <mergeCell ref="B15:B18"/>
    <mergeCell ref="B19:B22"/>
    <mergeCell ref="B23:B26"/>
    <mergeCell ref="B27:B30"/>
    <mergeCell ref="B31:B34"/>
    <mergeCell ref="B35:B38"/>
    <mergeCell ref="B87:B90"/>
    <mergeCell ref="B43:B46"/>
    <mergeCell ref="B47:B50"/>
    <mergeCell ref="B51:B54"/>
    <mergeCell ref="B55:B58"/>
    <mergeCell ref="B59:B62"/>
    <mergeCell ref="B63:B66"/>
    <mergeCell ref="B67:B70"/>
    <mergeCell ref="B71:B74"/>
    <mergeCell ref="B75:B78"/>
    <mergeCell ref="B79:B82"/>
    <mergeCell ref="B83:B86"/>
    <mergeCell ref="B115:B118"/>
    <mergeCell ref="B119:B122"/>
    <mergeCell ref="B91:B94"/>
    <mergeCell ref="B95:B98"/>
    <mergeCell ref="B99:B102"/>
    <mergeCell ref="B103:B106"/>
    <mergeCell ref="B107:B110"/>
    <mergeCell ref="B111:B114"/>
  </mergeCells>
  <phoneticPr fontId="1" type="noConversion"/>
  <conditionalFormatting sqref="I12:I14 I16:I18">
    <cfRule type="cellIs" dxfId="1799" priority="589" operator="greaterThan">
      <formula>0.03</formula>
    </cfRule>
    <cfRule type="cellIs" dxfId="1798" priority="590" stopIfTrue="1" operator="lessThan">
      <formula>-0.03</formula>
    </cfRule>
  </conditionalFormatting>
  <conditionalFormatting sqref="I12:I14 I16:I18">
    <cfRule type="cellIs" dxfId="1797" priority="587" operator="greaterThan">
      <formula>0.03</formula>
    </cfRule>
    <cfRule type="cellIs" dxfId="1796" priority="588" stopIfTrue="1" operator="lessThan">
      <formula>-0.03</formula>
    </cfRule>
  </conditionalFormatting>
  <conditionalFormatting sqref="I28:I30">
    <cfRule type="cellIs" dxfId="1795" priority="559" operator="greaterThan">
      <formula>0.03</formula>
    </cfRule>
    <cfRule type="cellIs" dxfId="1794" priority="560" stopIfTrue="1" operator="lessThan">
      <formula>-0.03</formula>
    </cfRule>
  </conditionalFormatting>
  <conditionalFormatting sqref="I28:I30">
    <cfRule type="cellIs" dxfId="1793" priority="557" operator="greaterThan">
      <formula>0.03</formula>
    </cfRule>
    <cfRule type="cellIs" dxfId="1792" priority="558" stopIfTrue="1" operator="lessThan">
      <formula>-0.03</formula>
    </cfRule>
  </conditionalFormatting>
  <conditionalFormatting sqref="I28:I30">
    <cfRule type="cellIs" dxfId="1791" priority="555" operator="greaterThan">
      <formula>0.03</formula>
    </cfRule>
    <cfRule type="cellIs" dxfId="1790" priority="556" stopIfTrue="1" operator="lessThan">
      <formula>-0.03</formula>
    </cfRule>
  </conditionalFormatting>
  <conditionalFormatting sqref="I28:I30">
    <cfRule type="cellIs" dxfId="1789" priority="553" operator="greaterThan">
      <formula>0.03</formula>
    </cfRule>
    <cfRule type="cellIs" dxfId="1788" priority="554" stopIfTrue="1" operator="lessThan">
      <formula>-0.03</formula>
    </cfRule>
  </conditionalFormatting>
  <conditionalFormatting sqref="I28:I30">
    <cfRule type="cellIs" dxfId="1787" priority="551" operator="greaterThan">
      <formula>0.03</formula>
    </cfRule>
    <cfRule type="cellIs" dxfId="1786" priority="552" stopIfTrue="1" operator="lessThan">
      <formula>-0.03</formula>
    </cfRule>
  </conditionalFormatting>
  <conditionalFormatting sqref="I20:I22">
    <cfRule type="cellIs" dxfId="1785" priority="595" operator="greaterThan">
      <formula>0.03</formula>
    </cfRule>
    <cfRule type="cellIs" dxfId="1784" priority="596" stopIfTrue="1" operator="lessThan">
      <formula>-0.03</formula>
    </cfRule>
  </conditionalFormatting>
  <conditionalFormatting sqref="I19">
    <cfRule type="cellIs" dxfId="1783" priority="569" operator="greaterThan">
      <formula>0.03</formula>
    </cfRule>
    <cfRule type="cellIs" dxfId="1782" priority="570" stopIfTrue="1" operator="lessThan">
      <formula>-0.03</formula>
    </cfRule>
  </conditionalFormatting>
  <conditionalFormatting sqref="I19">
    <cfRule type="cellIs" dxfId="1781" priority="567" operator="greaterThan">
      <formula>0.03</formula>
    </cfRule>
    <cfRule type="cellIs" dxfId="1780" priority="568" stopIfTrue="1" operator="lessThan">
      <formula>-0.03</formula>
    </cfRule>
  </conditionalFormatting>
  <conditionalFormatting sqref="I19">
    <cfRule type="cellIs" dxfId="1779" priority="565" operator="greaterThan">
      <formula>0.03</formula>
    </cfRule>
    <cfRule type="cellIs" dxfId="1778" priority="566" stopIfTrue="1" operator="lessThan">
      <formula>-0.03</formula>
    </cfRule>
  </conditionalFormatting>
  <conditionalFormatting sqref="I19">
    <cfRule type="cellIs" dxfId="1777" priority="563" operator="greaterThan">
      <formula>0.03</formula>
    </cfRule>
    <cfRule type="cellIs" dxfId="1776" priority="564" stopIfTrue="1" operator="lessThan">
      <formula>-0.03</formula>
    </cfRule>
  </conditionalFormatting>
  <conditionalFormatting sqref="I19">
    <cfRule type="cellIs" dxfId="1775" priority="561" operator="greaterThan">
      <formula>0.03</formula>
    </cfRule>
    <cfRule type="cellIs" dxfId="1774" priority="562" stopIfTrue="1" operator="lessThan">
      <formula>-0.03</formula>
    </cfRule>
  </conditionalFormatting>
  <conditionalFormatting sqref="I20:I22">
    <cfRule type="cellIs" dxfId="1773" priority="599" operator="greaterThan">
      <formula>0.03</formula>
    </cfRule>
    <cfRule type="cellIs" dxfId="1772" priority="600" stopIfTrue="1" operator="lessThan">
      <formula>-0.03</formula>
    </cfRule>
  </conditionalFormatting>
  <conditionalFormatting sqref="I20:I22">
    <cfRule type="cellIs" dxfId="1771" priority="597" operator="greaterThan">
      <formula>0.03</formula>
    </cfRule>
    <cfRule type="cellIs" dxfId="1770" priority="598" stopIfTrue="1" operator="lessThan">
      <formula>-0.03</formula>
    </cfRule>
  </conditionalFormatting>
  <conditionalFormatting sqref="I12:I14 I16:I18">
    <cfRule type="cellIs" dxfId="1769" priority="585" operator="greaterThan">
      <formula>0.03</formula>
    </cfRule>
    <cfRule type="cellIs" dxfId="1768" priority="586" stopIfTrue="1" operator="lessThan">
      <formula>-0.03</formula>
    </cfRule>
  </conditionalFormatting>
  <conditionalFormatting sqref="I20:I22">
    <cfRule type="cellIs" dxfId="1767" priority="593" operator="greaterThan">
      <formula>0.03</formula>
    </cfRule>
    <cfRule type="cellIs" dxfId="1766" priority="594" stopIfTrue="1" operator="lessThan">
      <formula>-0.03</formula>
    </cfRule>
  </conditionalFormatting>
  <conditionalFormatting sqref="I20:I22">
    <cfRule type="cellIs" dxfId="1765" priority="591" operator="greaterThan">
      <formula>0.03</formula>
    </cfRule>
    <cfRule type="cellIs" dxfId="1764" priority="592" stopIfTrue="1" operator="lessThan">
      <formula>-0.03</formula>
    </cfRule>
  </conditionalFormatting>
  <conditionalFormatting sqref="I12:I14 I16:I18">
    <cfRule type="cellIs" dxfId="1763" priority="581" operator="greaterThan">
      <formula>0.03</formula>
    </cfRule>
    <cfRule type="cellIs" dxfId="1762" priority="582" stopIfTrue="1" operator="lessThan">
      <formula>-0.03</formula>
    </cfRule>
  </conditionalFormatting>
  <conditionalFormatting sqref="I12:I14 I16:I18">
    <cfRule type="cellIs" dxfId="1761" priority="583" operator="greaterThan">
      <formula>0.03</formula>
    </cfRule>
    <cfRule type="cellIs" dxfId="1760" priority="584" stopIfTrue="1" operator="lessThan">
      <formula>-0.03</formula>
    </cfRule>
  </conditionalFormatting>
  <conditionalFormatting sqref="I11">
    <cfRule type="cellIs" dxfId="1759" priority="579" operator="greaterThan">
      <formula>0.03</formula>
    </cfRule>
    <cfRule type="cellIs" dxfId="1758" priority="580" stopIfTrue="1" operator="lessThan">
      <formula>-0.03</formula>
    </cfRule>
  </conditionalFormatting>
  <conditionalFormatting sqref="I11">
    <cfRule type="cellIs" dxfId="1757" priority="577" operator="greaterThan">
      <formula>0.03</formula>
    </cfRule>
    <cfRule type="cellIs" dxfId="1756" priority="578" stopIfTrue="1" operator="lessThan">
      <formula>-0.03</formula>
    </cfRule>
  </conditionalFormatting>
  <conditionalFormatting sqref="I11">
    <cfRule type="cellIs" dxfId="1755" priority="575" operator="greaterThan">
      <formula>0.03</formula>
    </cfRule>
    <cfRule type="cellIs" dxfId="1754" priority="576" stopIfTrue="1" operator="lessThan">
      <formula>-0.03</formula>
    </cfRule>
  </conditionalFormatting>
  <conditionalFormatting sqref="I11">
    <cfRule type="cellIs" dxfId="1753" priority="573" operator="greaterThan">
      <formula>0.03</formula>
    </cfRule>
    <cfRule type="cellIs" dxfId="1752" priority="574" stopIfTrue="1" operator="lessThan">
      <formula>-0.03</formula>
    </cfRule>
  </conditionalFormatting>
  <conditionalFormatting sqref="I11">
    <cfRule type="cellIs" dxfId="1751" priority="571" operator="greaterThan">
      <formula>0.03</formula>
    </cfRule>
    <cfRule type="cellIs" dxfId="1750" priority="572" stopIfTrue="1" operator="lessThan">
      <formula>-0.03</formula>
    </cfRule>
  </conditionalFormatting>
  <conditionalFormatting sqref="I24:I26">
    <cfRule type="cellIs" dxfId="1749" priority="549" operator="greaterThan">
      <formula>0.03</formula>
    </cfRule>
    <cfRule type="cellIs" dxfId="1748" priority="550" stopIfTrue="1" operator="lessThan">
      <formula>-0.03</formula>
    </cfRule>
  </conditionalFormatting>
  <conditionalFormatting sqref="I24:I26">
    <cfRule type="cellIs" dxfId="1747" priority="547" operator="greaterThan">
      <formula>0.03</formula>
    </cfRule>
    <cfRule type="cellIs" dxfId="1746" priority="548" stopIfTrue="1" operator="lessThan">
      <formula>-0.03</formula>
    </cfRule>
  </conditionalFormatting>
  <conditionalFormatting sqref="I27">
    <cfRule type="cellIs" dxfId="1745" priority="529" operator="greaterThan">
      <formula>0.03</formula>
    </cfRule>
    <cfRule type="cellIs" dxfId="1744" priority="530" stopIfTrue="1" operator="lessThan">
      <formula>-0.03</formula>
    </cfRule>
  </conditionalFormatting>
  <conditionalFormatting sqref="I27">
    <cfRule type="cellIs" dxfId="1743" priority="527" operator="greaterThan">
      <formula>0.03</formula>
    </cfRule>
    <cfRule type="cellIs" dxfId="1742" priority="528" stopIfTrue="1" operator="lessThan">
      <formula>-0.03</formula>
    </cfRule>
  </conditionalFormatting>
  <conditionalFormatting sqref="I27">
    <cfRule type="cellIs" dxfId="1741" priority="525" operator="greaterThan">
      <formula>0.03</formula>
    </cfRule>
    <cfRule type="cellIs" dxfId="1740" priority="526" stopIfTrue="1" operator="lessThan">
      <formula>-0.03</formula>
    </cfRule>
  </conditionalFormatting>
  <conditionalFormatting sqref="I27">
    <cfRule type="cellIs" dxfId="1739" priority="523" operator="greaterThan">
      <formula>0.03</formula>
    </cfRule>
    <cfRule type="cellIs" dxfId="1738" priority="524" stopIfTrue="1" operator="lessThan">
      <formula>-0.03</formula>
    </cfRule>
  </conditionalFormatting>
  <conditionalFormatting sqref="I27">
    <cfRule type="cellIs" dxfId="1737" priority="521" operator="greaterThan">
      <formula>0.03</formula>
    </cfRule>
    <cfRule type="cellIs" dxfId="1736" priority="522" stopIfTrue="1" operator="lessThan">
      <formula>-0.03</formula>
    </cfRule>
  </conditionalFormatting>
  <conditionalFormatting sqref="I24:I26">
    <cfRule type="cellIs" dxfId="1735" priority="545" operator="greaterThan">
      <formula>0.03</formula>
    </cfRule>
    <cfRule type="cellIs" dxfId="1734" priority="546" stopIfTrue="1" operator="lessThan">
      <formula>-0.03</formula>
    </cfRule>
  </conditionalFormatting>
  <conditionalFormatting sqref="I24:I26">
    <cfRule type="cellIs" dxfId="1733" priority="541" operator="greaterThan">
      <formula>0.03</formula>
    </cfRule>
    <cfRule type="cellIs" dxfId="1732" priority="542" stopIfTrue="1" operator="lessThan">
      <formula>-0.03</formula>
    </cfRule>
  </conditionalFormatting>
  <conditionalFormatting sqref="I24:I26">
    <cfRule type="cellIs" dxfId="1731" priority="543" operator="greaterThan">
      <formula>0.03</formula>
    </cfRule>
    <cfRule type="cellIs" dxfId="1730" priority="544" stopIfTrue="1" operator="lessThan">
      <formula>-0.03</formula>
    </cfRule>
  </conditionalFormatting>
  <conditionalFormatting sqref="I23">
    <cfRule type="cellIs" dxfId="1729" priority="539" operator="greaterThan">
      <formula>0.03</formula>
    </cfRule>
    <cfRule type="cellIs" dxfId="1728" priority="540" stopIfTrue="1" operator="lessThan">
      <formula>-0.03</formula>
    </cfRule>
  </conditionalFormatting>
  <conditionalFormatting sqref="I23">
    <cfRule type="cellIs" dxfId="1727" priority="537" operator="greaterThan">
      <formula>0.03</formula>
    </cfRule>
    <cfRule type="cellIs" dxfId="1726" priority="538" stopIfTrue="1" operator="lessThan">
      <formula>-0.03</formula>
    </cfRule>
  </conditionalFormatting>
  <conditionalFormatting sqref="I23">
    <cfRule type="cellIs" dxfId="1725" priority="535" operator="greaterThan">
      <formula>0.03</formula>
    </cfRule>
    <cfRule type="cellIs" dxfId="1724" priority="536" stopIfTrue="1" operator="lessThan">
      <formula>-0.03</formula>
    </cfRule>
  </conditionalFormatting>
  <conditionalFormatting sqref="I23">
    <cfRule type="cellIs" dxfId="1723" priority="533" operator="greaterThan">
      <formula>0.03</formula>
    </cfRule>
    <cfRule type="cellIs" dxfId="1722" priority="534" stopIfTrue="1" operator="lessThan">
      <formula>-0.03</formula>
    </cfRule>
  </conditionalFormatting>
  <conditionalFormatting sqref="I23">
    <cfRule type="cellIs" dxfId="1721" priority="531" operator="greaterThan">
      <formula>0.03</formula>
    </cfRule>
    <cfRule type="cellIs" dxfId="1720" priority="532" stopIfTrue="1" operator="lessThan">
      <formula>-0.03</formula>
    </cfRule>
  </conditionalFormatting>
  <conditionalFormatting sqref="I44:I46">
    <cfRule type="cellIs" dxfId="1719" priority="519" operator="greaterThan">
      <formula>0.03</formula>
    </cfRule>
    <cfRule type="cellIs" dxfId="1718" priority="520" stopIfTrue="1" operator="lessThan">
      <formula>-0.03</formula>
    </cfRule>
  </conditionalFormatting>
  <conditionalFormatting sqref="I44:I46">
    <cfRule type="cellIs" dxfId="1717" priority="517" operator="greaterThan">
      <formula>0.03</formula>
    </cfRule>
    <cfRule type="cellIs" dxfId="1716" priority="518" stopIfTrue="1" operator="lessThan">
      <formula>-0.03</formula>
    </cfRule>
  </conditionalFormatting>
  <conditionalFormatting sqref="I44:I46">
    <cfRule type="cellIs" dxfId="1715" priority="515" operator="greaterThan">
      <formula>0.03</formula>
    </cfRule>
    <cfRule type="cellIs" dxfId="1714" priority="516" stopIfTrue="1" operator="lessThan">
      <formula>-0.03</formula>
    </cfRule>
  </conditionalFormatting>
  <conditionalFormatting sqref="I44:I46">
    <cfRule type="cellIs" dxfId="1713" priority="513" operator="greaterThan">
      <formula>0.03</formula>
    </cfRule>
    <cfRule type="cellIs" dxfId="1712" priority="514" stopIfTrue="1" operator="lessThan">
      <formula>-0.03</formula>
    </cfRule>
  </conditionalFormatting>
  <conditionalFormatting sqref="I44:I46">
    <cfRule type="cellIs" dxfId="1711" priority="511" operator="greaterThan">
      <formula>0.03</formula>
    </cfRule>
    <cfRule type="cellIs" dxfId="1710" priority="512" stopIfTrue="1" operator="lessThan">
      <formula>-0.03</formula>
    </cfRule>
  </conditionalFormatting>
  <conditionalFormatting sqref="I40:I42">
    <cfRule type="cellIs" dxfId="1709" priority="509" operator="greaterThan">
      <formula>0.03</formula>
    </cfRule>
    <cfRule type="cellIs" dxfId="1708" priority="510" stopIfTrue="1" operator="lessThan">
      <formula>-0.03</formula>
    </cfRule>
  </conditionalFormatting>
  <conditionalFormatting sqref="I40:I42">
    <cfRule type="cellIs" dxfId="1707" priority="507" operator="greaterThan">
      <formula>0.03</formula>
    </cfRule>
    <cfRule type="cellIs" dxfId="1706" priority="508" stopIfTrue="1" operator="lessThan">
      <formula>-0.03</formula>
    </cfRule>
  </conditionalFormatting>
  <conditionalFormatting sqref="I43">
    <cfRule type="cellIs" dxfId="1705" priority="489" operator="greaterThan">
      <formula>0.03</formula>
    </cfRule>
    <cfRule type="cellIs" dxfId="1704" priority="490" stopIfTrue="1" operator="lessThan">
      <formula>-0.03</formula>
    </cfRule>
  </conditionalFormatting>
  <conditionalFormatting sqref="I43">
    <cfRule type="cellIs" dxfId="1703" priority="487" operator="greaterThan">
      <formula>0.03</formula>
    </cfRule>
    <cfRule type="cellIs" dxfId="1702" priority="488" stopIfTrue="1" operator="lessThan">
      <formula>-0.03</formula>
    </cfRule>
  </conditionalFormatting>
  <conditionalFormatting sqref="I43">
    <cfRule type="cellIs" dxfId="1701" priority="485" operator="greaterThan">
      <formula>0.03</formula>
    </cfRule>
    <cfRule type="cellIs" dxfId="1700" priority="486" stopIfTrue="1" operator="lessThan">
      <formula>-0.03</formula>
    </cfRule>
  </conditionalFormatting>
  <conditionalFormatting sqref="I43">
    <cfRule type="cellIs" dxfId="1699" priority="483" operator="greaterThan">
      <formula>0.03</formula>
    </cfRule>
    <cfRule type="cellIs" dxfId="1698" priority="484" stopIfTrue="1" operator="lessThan">
      <formula>-0.03</formula>
    </cfRule>
  </conditionalFormatting>
  <conditionalFormatting sqref="I43">
    <cfRule type="cellIs" dxfId="1697" priority="481" operator="greaterThan">
      <formula>0.03</formula>
    </cfRule>
    <cfRule type="cellIs" dxfId="1696" priority="482" stopIfTrue="1" operator="lessThan">
      <formula>-0.03</formula>
    </cfRule>
  </conditionalFormatting>
  <conditionalFormatting sqref="I40:I42">
    <cfRule type="cellIs" dxfId="1695" priority="505" operator="greaterThan">
      <formula>0.03</formula>
    </cfRule>
    <cfRule type="cellIs" dxfId="1694" priority="506" stopIfTrue="1" operator="lessThan">
      <formula>-0.03</formula>
    </cfRule>
  </conditionalFormatting>
  <conditionalFormatting sqref="I40:I42">
    <cfRule type="cellIs" dxfId="1693" priority="501" operator="greaterThan">
      <formula>0.03</formula>
    </cfRule>
    <cfRule type="cellIs" dxfId="1692" priority="502" stopIfTrue="1" operator="lessThan">
      <formula>-0.03</formula>
    </cfRule>
  </conditionalFormatting>
  <conditionalFormatting sqref="I40:I42">
    <cfRule type="cellIs" dxfId="1691" priority="503" operator="greaterThan">
      <formula>0.03</formula>
    </cfRule>
    <cfRule type="cellIs" dxfId="1690" priority="504" stopIfTrue="1" operator="lessThan">
      <formula>-0.03</formula>
    </cfRule>
  </conditionalFormatting>
  <conditionalFormatting sqref="I39">
    <cfRule type="cellIs" dxfId="1689" priority="499" operator="greaterThan">
      <formula>0.03</formula>
    </cfRule>
    <cfRule type="cellIs" dxfId="1688" priority="500" stopIfTrue="1" operator="lessThan">
      <formula>-0.03</formula>
    </cfRule>
  </conditionalFormatting>
  <conditionalFormatting sqref="I39">
    <cfRule type="cellIs" dxfId="1687" priority="497" operator="greaterThan">
      <formula>0.03</formula>
    </cfRule>
    <cfRule type="cellIs" dxfId="1686" priority="498" stopIfTrue="1" operator="lessThan">
      <formula>-0.03</formula>
    </cfRule>
  </conditionalFormatting>
  <conditionalFormatting sqref="I39">
    <cfRule type="cellIs" dxfId="1685" priority="495" operator="greaterThan">
      <formula>0.03</formula>
    </cfRule>
    <cfRule type="cellIs" dxfId="1684" priority="496" stopIfTrue="1" operator="lessThan">
      <formula>-0.03</formula>
    </cfRule>
  </conditionalFormatting>
  <conditionalFormatting sqref="I39">
    <cfRule type="cellIs" dxfId="1683" priority="493" operator="greaterThan">
      <formula>0.03</formula>
    </cfRule>
    <cfRule type="cellIs" dxfId="1682" priority="494" stopIfTrue="1" operator="lessThan">
      <formula>-0.03</formula>
    </cfRule>
  </conditionalFormatting>
  <conditionalFormatting sqref="I39">
    <cfRule type="cellIs" dxfId="1681" priority="491" operator="greaterThan">
      <formula>0.03</formula>
    </cfRule>
    <cfRule type="cellIs" dxfId="1680" priority="492" stopIfTrue="1" operator="lessThan">
      <formula>-0.03</formula>
    </cfRule>
  </conditionalFormatting>
  <conditionalFormatting sqref="I64:I66">
    <cfRule type="cellIs" dxfId="1679" priority="479" operator="greaterThan">
      <formula>0.03</formula>
    </cfRule>
    <cfRule type="cellIs" dxfId="1678" priority="480" stopIfTrue="1" operator="lessThan">
      <formula>-0.03</formula>
    </cfRule>
  </conditionalFormatting>
  <conditionalFormatting sqref="I64:I66">
    <cfRule type="cellIs" dxfId="1677" priority="477" operator="greaterThan">
      <formula>0.03</formula>
    </cfRule>
    <cfRule type="cellIs" dxfId="1676" priority="478" stopIfTrue="1" operator="lessThan">
      <formula>-0.03</formula>
    </cfRule>
  </conditionalFormatting>
  <conditionalFormatting sqref="I64:I66">
    <cfRule type="cellIs" dxfId="1675" priority="475" operator="greaterThan">
      <formula>0.03</formula>
    </cfRule>
    <cfRule type="cellIs" dxfId="1674" priority="476" stopIfTrue="1" operator="lessThan">
      <formula>-0.03</formula>
    </cfRule>
  </conditionalFormatting>
  <conditionalFormatting sqref="I64:I66">
    <cfRule type="cellIs" dxfId="1673" priority="473" operator="greaterThan">
      <formula>0.03</formula>
    </cfRule>
    <cfRule type="cellIs" dxfId="1672" priority="474" stopIfTrue="1" operator="lessThan">
      <formula>-0.03</formula>
    </cfRule>
  </conditionalFormatting>
  <conditionalFormatting sqref="I64:I66">
    <cfRule type="cellIs" dxfId="1671" priority="471" operator="greaterThan">
      <formula>0.03</formula>
    </cfRule>
    <cfRule type="cellIs" dxfId="1670" priority="472" stopIfTrue="1" operator="lessThan">
      <formula>-0.03</formula>
    </cfRule>
  </conditionalFormatting>
  <conditionalFormatting sqref="I56:I58">
    <cfRule type="cellIs" dxfId="1669" priority="469" operator="greaterThan">
      <formula>0.03</formula>
    </cfRule>
    <cfRule type="cellIs" dxfId="1668" priority="470" stopIfTrue="1" operator="lessThan">
      <formula>-0.03</formula>
    </cfRule>
  </conditionalFormatting>
  <conditionalFormatting sqref="I56:I58">
    <cfRule type="cellIs" dxfId="1667" priority="467" operator="greaterThan">
      <formula>0.03</formula>
    </cfRule>
    <cfRule type="cellIs" dxfId="1666" priority="468" stopIfTrue="1" operator="lessThan">
      <formula>-0.03</formula>
    </cfRule>
  </conditionalFormatting>
  <conditionalFormatting sqref="I63">
    <cfRule type="cellIs" dxfId="1665" priority="449" operator="greaterThan">
      <formula>0.03</formula>
    </cfRule>
    <cfRule type="cellIs" dxfId="1664" priority="450" stopIfTrue="1" operator="lessThan">
      <formula>-0.03</formula>
    </cfRule>
  </conditionalFormatting>
  <conditionalFormatting sqref="I63">
    <cfRule type="cellIs" dxfId="1663" priority="447" operator="greaterThan">
      <formula>0.03</formula>
    </cfRule>
    <cfRule type="cellIs" dxfId="1662" priority="448" stopIfTrue="1" operator="lessThan">
      <formula>-0.03</formula>
    </cfRule>
  </conditionalFormatting>
  <conditionalFormatting sqref="I63">
    <cfRule type="cellIs" dxfId="1661" priority="445" operator="greaterThan">
      <formula>0.03</formula>
    </cfRule>
    <cfRule type="cellIs" dxfId="1660" priority="446" stopIfTrue="1" operator="lessThan">
      <formula>-0.03</formula>
    </cfRule>
  </conditionalFormatting>
  <conditionalFormatting sqref="I63">
    <cfRule type="cellIs" dxfId="1659" priority="443" operator="greaterThan">
      <formula>0.03</formula>
    </cfRule>
    <cfRule type="cellIs" dxfId="1658" priority="444" stopIfTrue="1" operator="lessThan">
      <formula>-0.03</formula>
    </cfRule>
  </conditionalFormatting>
  <conditionalFormatting sqref="I63">
    <cfRule type="cellIs" dxfId="1657" priority="441" operator="greaterThan">
      <formula>0.03</formula>
    </cfRule>
    <cfRule type="cellIs" dxfId="1656" priority="442" stopIfTrue="1" operator="lessThan">
      <formula>-0.03</formula>
    </cfRule>
  </conditionalFormatting>
  <conditionalFormatting sqref="I56:I58">
    <cfRule type="cellIs" dxfId="1655" priority="465" operator="greaterThan">
      <formula>0.03</formula>
    </cfRule>
    <cfRule type="cellIs" dxfId="1654" priority="466" stopIfTrue="1" operator="lessThan">
      <formula>-0.03</formula>
    </cfRule>
  </conditionalFormatting>
  <conditionalFormatting sqref="I56:I58">
    <cfRule type="cellIs" dxfId="1653" priority="461" operator="greaterThan">
      <formula>0.03</formula>
    </cfRule>
    <cfRule type="cellIs" dxfId="1652" priority="462" stopIfTrue="1" operator="lessThan">
      <formula>-0.03</formula>
    </cfRule>
  </conditionalFormatting>
  <conditionalFormatting sqref="I56:I58">
    <cfRule type="cellIs" dxfId="1651" priority="463" operator="greaterThan">
      <formula>0.03</formula>
    </cfRule>
    <cfRule type="cellIs" dxfId="1650" priority="464" stopIfTrue="1" operator="lessThan">
      <formula>-0.03</formula>
    </cfRule>
  </conditionalFormatting>
  <conditionalFormatting sqref="I55">
    <cfRule type="cellIs" dxfId="1649" priority="459" operator="greaterThan">
      <formula>0.03</formula>
    </cfRule>
    <cfRule type="cellIs" dxfId="1648" priority="460" stopIfTrue="1" operator="lessThan">
      <formula>-0.03</formula>
    </cfRule>
  </conditionalFormatting>
  <conditionalFormatting sqref="I55">
    <cfRule type="cellIs" dxfId="1647" priority="457" operator="greaterThan">
      <formula>0.03</formula>
    </cfRule>
    <cfRule type="cellIs" dxfId="1646" priority="458" stopIfTrue="1" operator="lessThan">
      <formula>-0.03</formula>
    </cfRule>
  </conditionalFormatting>
  <conditionalFormatting sqref="I55">
    <cfRule type="cellIs" dxfId="1645" priority="455" operator="greaterThan">
      <formula>0.03</formula>
    </cfRule>
    <cfRule type="cellIs" dxfId="1644" priority="456" stopIfTrue="1" operator="lessThan">
      <formula>-0.03</formula>
    </cfRule>
  </conditionalFormatting>
  <conditionalFormatting sqref="I55">
    <cfRule type="cellIs" dxfId="1643" priority="453" operator="greaterThan">
      <formula>0.03</formula>
    </cfRule>
    <cfRule type="cellIs" dxfId="1642" priority="454" stopIfTrue="1" operator="lessThan">
      <formula>-0.03</formula>
    </cfRule>
  </conditionalFormatting>
  <conditionalFormatting sqref="I55">
    <cfRule type="cellIs" dxfId="1641" priority="451" operator="greaterThan">
      <formula>0.03</formula>
    </cfRule>
    <cfRule type="cellIs" dxfId="1640" priority="452" stopIfTrue="1" operator="lessThan">
      <formula>-0.03</formula>
    </cfRule>
  </conditionalFormatting>
  <conditionalFormatting sqref="I36:I38">
    <cfRule type="cellIs" dxfId="1639" priority="439" operator="greaterThan">
      <formula>0.03</formula>
    </cfRule>
    <cfRule type="cellIs" dxfId="1638" priority="440" stopIfTrue="1" operator="lessThan">
      <formula>-0.03</formula>
    </cfRule>
  </conditionalFormatting>
  <conditionalFormatting sqref="I36:I38">
    <cfRule type="cellIs" dxfId="1637" priority="437" operator="greaterThan">
      <formula>0.03</formula>
    </cfRule>
    <cfRule type="cellIs" dxfId="1636" priority="438" stopIfTrue="1" operator="lessThan">
      <formula>-0.03</formula>
    </cfRule>
  </conditionalFormatting>
  <conditionalFormatting sqref="I36:I38">
    <cfRule type="cellIs" dxfId="1635" priority="435" operator="greaterThan">
      <formula>0.03</formula>
    </cfRule>
    <cfRule type="cellIs" dxfId="1634" priority="436" stopIfTrue="1" operator="lessThan">
      <formula>-0.03</formula>
    </cfRule>
  </conditionalFormatting>
  <conditionalFormatting sqref="I36:I38">
    <cfRule type="cellIs" dxfId="1633" priority="433" operator="greaterThan">
      <formula>0.03</formula>
    </cfRule>
    <cfRule type="cellIs" dxfId="1632" priority="434" stopIfTrue="1" operator="lessThan">
      <formula>-0.03</formula>
    </cfRule>
  </conditionalFormatting>
  <conditionalFormatting sqref="I36:I38">
    <cfRule type="cellIs" dxfId="1631" priority="431" operator="greaterThan">
      <formula>0.03</formula>
    </cfRule>
    <cfRule type="cellIs" dxfId="1630" priority="432" stopIfTrue="1" operator="lessThan">
      <formula>-0.03</formula>
    </cfRule>
  </conditionalFormatting>
  <conditionalFormatting sqref="I32:I34">
    <cfRule type="cellIs" dxfId="1629" priority="429" operator="greaterThan">
      <formula>0.03</formula>
    </cfRule>
    <cfRule type="cellIs" dxfId="1628" priority="430" stopIfTrue="1" operator="lessThan">
      <formula>-0.03</formula>
    </cfRule>
  </conditionalFormatting>
  <conditionalFormatting sqref="I32:I34">
    <cfRule type="cellIs" dxfId="1627" priority="427" operator="greaterThan">
      <formula>0.03</formula>
    </cfRule>
    <cfRule type="cellIs" dxfId="1626" priority="428" stopIfTrue="1" operator="lessThan">
      <formula>-0.03</formula>
    </cfRule>
  </conditionalFormatting>
  <conditionalFormatting sqref="I35">
    <cfRule type="cellIs" dxfId="1625" priority="409" operator="greaterThan">
      <formula>0.03</formula>
    </cfRule>
    <cfRule type="cellIs" dxfId="1624" priority="410" stopIfTrue="1" operator="lessThan">
      <formula>-0.03</formula>
    </cfRule>
  </conditionalFormatting>
  <conditionalFormatting sqref="I35">
    <cfRule type="cellIs" dxfId="1623" priority="407" operator="greaterThan">
      <formula>0.03</formula>
    </cfRule>
    <cfRule type="cellIs" dxfId="1622" priority="408" stopIfTrue="1" operator="lessThan">
      <formula>-0.03</formula>
    </cfRule>
  </conditionalFormatting>
  <conditionalFormatting sqref="I35">
    <cfRule type="cellIs" dxfId="1621" priority="405" operator="greaterThan">
      <formula>0.03</formula>
    </cfRule>
    <cfRule type="cellIs" dxfId="1620" priority="406" stopIfTrue="1" operator="lessThan">
      <formula>-0.03</formula>
    </cfRule>
  </conditionalFormatting>
  <conditionalFormatting sqref="I35">
    <cfRule type="cellIs" dxfId="1619" priority="403" operator="greaterThan">
      <formula>0.03</formula>
    </cfRule>
    <cfRule type="cellIs" dxfId="1618" priority="404" stopIfTrue="1" operator="lessThan">
      <formula>-0.03</formula>
    </cfRule>
  </conditionalFormatting>
  <conditionalFormatting sqref="I35">
    <cfRule type="cellIs" dxfId="1617" priority="401" operator="greaterThan">
      <formula>0.03</formula>
    </cfRule>
    <cfRule type="cellIs" dxfId="1616" priority="402" stopIfTrue="1" operator="lessThan">
      <formula>-0.03</formula>
    </cfRule>
  </conditionalFormatting>
  <conditionalFormatting sqref="I32:I34">
    <cfRule type="cellIs" dxfId="1615" priority="425" operator="greaterThan">
      <formula>0.03</formula>
    </cfRule>
    <cfRule type="cellIs" dxfId="1614" priority="426" stopIfTrue="1" operator="lessThan">
      <formula>-0.03</formula>
    </cfRule>
  </conditionalFormatting>
  <conditionalFormatting sqref="I32:I34">
    <cfRule type="cellIs" dxfId="1613" priority="421" operator="greaterThan">
      <formula>0.03</formula>
    </cfRule>
    <cfRule type="cellIs" dxfId="1612" priority="422" stopIfTrue="1" operator="lessThan">
      <formula>-0.03</formula>
    </cfRule>
  </conditionalFormatting>
  <conditionalFormatting sqref="I32:I34">
    <cfRule type="cellIs" dxfId="1611" priority="423" operator="greaterThan">
      <formula>0.03</formula>
    </cfRule>
    <cfRule type="cellIs" dxfId="1610" priority="424" stopIfTrue="1" operator="lessThan">
      <formula>-0.03</formula>
    </cfRule>
  </conditionalFormatting>
  <conditionalFormatting sqref="I31">
    <cfRule type="cellIs" dxfId="1609" priority="419" operator="greaterThan">
      <formula>0.03</formula>
    </cfRule>
    <cfRule type="cellIs" dxfId="1608" priority="420" stopIfTrue="1" operator="lessThan">
      <formula>-0.03</formula>
    </cfRule>
  </conditionalFormatting>
  <conditionalFormatting sqref="I31">
    <cfRule type="cellIs" dxfId="1607" priority="417" operator="greaterThan">
      <formula>0.03</formula>
    </cfRule>
    <cfRule type="cellIs" dxfId="1606" priority="418" stopIfTrue="1" operator="lessThan">
      <formula>-0.03</formula>
    </cfRule>
  </conditionalFormatting>
  <conditionalFormatting sqref="I31">
    <cfRule type="cellIs" dxfId="1605" priority="415" operator="greaterThan">
      <formula>0.03</formula>
    </cfRule>
    <cfRule type="cellIs" dxfId="1604" priority="416" stopIfTrue="1" operator="lessThan">
      <formula>-0.03</formula>
    </cfRule>
  </conditionalFormatting>
  <conditionalFormatting sqref="I31">
    <cfRule type="cellIs" dxfId="1603" priority="413" operator="greaterThan">
      <formula>0.03</formula>
    </cfRule>
    <cfRule type="cellIs" dxfId="1602" priority="414" stopIfTrue="1" operator="lessThan">
      <formula>-0.03</formula>
    </cfRule>
  </conditionalFormatting>
  <conditionalFormatting sqref="I31">
    <cfRule type="cellIs" dxfId="1601" priority="411" operator="greaterThan">
      <formula>0.03</formula>
    </cfRule>
    <cfRule type="cellIs" dxfId="1600" priority="412" stopIfTrue="1" operator="lessThan">
      <formula>-0.03</formula>
    </cfRule>
  </conditionalFormatting>
  <conditionalFormatting sqref="I52:I54">
    <cfRule type="cellIs" dxfId="1599" priority="399" operator="greaterThan">
      <formula>0.03</formula>
    </cfRule>
    <cfRule type="cellIs" dxfId="1598" priority="400" stopIfTrue="1" operator="lessThan">
      <formula>-0.03</formula>
    </cfRule>
  </conditionalFormatting>
  <conditionalFormatting sqref="I52:I54">
    <cfRule type="cellIs" dxfId="1597" priority="397" operator="greaterThan">
      <formula>0.03</formula>
    </cfRule>
    <cfRule type="cellIs" dxfId="1596" priority="398" stopIfTrue="1" operator="lessThan">
      <formula>-0.03</formula>
    </cfRule>
  </conditionalFormatting>
  <conditionalFormatting sqref="I52:I54">
    <cfRule type="cellIs" dxfId="1595" priority="395" operator="greaterThan">
      <formula>0.03</formula>
    </cfRule>
    <cfRule type="cellIs" dxfId="1594" priority="396" stopIfTrue="1" operator="lessThan">
      <formula>-0.03</formula>
    </cfRule>
  </conditionalFormatting>
  <conditionalFormatting sqref="I52:I54">
    <cfRule type="cellIs" dxfId="1593" priority="393" operator="greaterThan">
      <formula>0.03</formula>
    </cfRule>
    <cfRule type="cellIs" dxfId="1592" priority="394" stopIfTrue="1" operator="lessThan">
      <formula>-0.03</formula>
    </cfRule>
  </conditionalFormatting>
  <conditionalFormatting sqref="I52:I54">
    <cfRule type="cellIs" dxfId="1591" priority="391" operator="greaterThan">
      <formula>0.03</formula>
    </cfRule>
    <cfRule type="cellIs" dxfId="1590" priority="392" stopIfTrue="1" operator="lessThan">
      <formula>-0.03</formula>
    </cfRule>
  </conditionalFormatting>
  <conditionalFormatting sqref="I48:I50">
    <cfRule type="cellIs" dxfId="1589" priority="389" operator="greaterThan">
      <formula>0.03</formula>
    </cfRule>
    <cfRule type="cellIs" dxfId="1588" priority="390" stopIfTrue="1" operator="lessThan">
      <formula>-0.03</formula>
    </cfRule>
  </conditionalFormatting>
  <conditionalFormatting sqref="I48:I50">
    <cfRule type="cellIs" dxfId="1587" priority="387" operator="greaterThan">
      <formula>0.03</formula>
    </cfRule>
    <cfRule type="cellIs" dxfId="1586" priority="388" stopIfTrue="1" operator="lessThan">
      <formula>-0.03</formula>
    </cfRule>
  </conditionalFormatting>
  <conditionalFormatting sqref="I51">
    <cfRule type="cellIs" dxfId="1585" priority="369" operator="greaterThan">
      <formula>0.03</formula>
    </cfRule>
    <cfRule type="cellIs" dxfId="1584" priority="370" stopIfTrue="1" operator="lessThan">
      <formula>-0.03</formula>
    </cfRule>
  </conditionalFormatting>
  <conditionalFormatting sqref="I51">
    <cfRule type="cellIs" dxfId="1583" priority="367" operator="greaterThan">
      <formula>0.03</formula>
    </cfRule>
    <cfRule type="cellIs" dxfId="1582" priority="368" stopIfTrue="1" operator="lessThan">
      <formula>-0.03</formula>
    </cfRule>
  </conditionalFormatting>
  <conditionalFormatting sqref="I51">
    <cfRule type="cellIs" dxfId="1581" priority="365" operator="greaterThan">
      <formula>0.03</formula>
    </cfRule>
    <cfRule type="cellIs" dxfId="1580" priority="366" stopIfTrue="1" operator="lessThan">
      <formula>-0.03</formula>
    </cfRule>
  </conditionalFormatting>
  <conditionalFormatting sqref="I51">
    <cfRule type="cellIs" dxfId="1579" priority="363" operator="greaterThan">
      <formula>0.03</formula>
    </cfRule>
    <cfRule type="cellIs" dxfId="1578" priority="364" stopIfTrue="1" operator="lessThan">
      <formula>-0.03</formula>
    </cfRule>
  </conditionalFormatting>
  <conditionalFormatting sqref="I51">
    <cfRule type="cellIs" dxfId="1577" priority="361" operator="greaterThan">
      <formula>0.03</formula>
    </cfRule>
    <cfRule type="cellIs" dxfId="1576" priority="362" stopIfTrue="1" operator="lessThan">
      <formula>-0.03</formula>
    </cfRule>
  </conditionalFormatting>
  <conditionalFormatting sqref="I48:I50">
    <cfRule type="cellIs" dxfId="1575" priority="385" operator="greaterThan">
      <formula>0.03</formula>
    </cfRule>
    <cfRule type="cellIs" dxfId="1574" priority="386" stopIfTrue="1" operator="lessThan">
      <formula>-0.03</formula>
    </cfRule>
  </conditionalFormatting>
  <conditionalFormatting sqref="I48:I50">
    <cfRule type="cellIs" dxfId="1573" priority="381" operator="greaterThan">
      <formula>0.03</formula>
    </cfRule>
    <cfRule type="cellIs" dxfId="1572" priority="382" stopIfTrue="1" operator="lessThan">
      <formula>-0.03</formula>
    </cfRule>
  </conditionalFormatting>
  <conditionalFormatting sqref="I48:I50">
    <cfRule type="cellIs" dxfId="1571" priority="383" operator="greaterThan">
      <formula>0.03</formula>
    </cfRule>
    <cfRule type="cellIs" dxfId="1570" priority="384" stopIfTrue="1" operator="lessThan">
      <formula>-0.03</formula>
    </cfRule>
  </conditionalFormatting>
  <conditionalFormatting sqref="I47">
    <cfRule type="cellIs" dxfId="1569" priority="379" operator="greaterThan">
      <formula>0.03</formula>
    </cfRule>
    <cfRule type="cellIs" dxfId="1568" priority="380" stopIfTrue="1" operator="lessThan">
      <formula>-0.03</formula>
    </cfRule>
  </conditionalFormatting>
  <conditionalFormatting sqref="I47">
    <cfRule type="cellIs" dxfId="1567" priority="377" operator="greaterThan">
      <formula>0.03</formula>
    </cfRule>
    <cfRule type="cellIs" dxfId="1566" priority="378" stopIfTrue="1" operator="lessThan">
      <formula>-0.03</formula>
    </cfRule>
  </conditionalFormatting>
  <conditionalFormatting sqref="I47">
    <cfRule type="cellIs" dxfId="1565" priority="375" operator="greaterThan">
      <formula>0.03</formula>
    </cfRule>
    <cfRule type="cellIs" dxfId="1564" priority="376" stopIfTrue="1" operator="lessThan">
      <formula>-0.03</formula>
    </cfRule>
  </conditionalFormatting>
  <conditionalFormatting sqref="I47">
    <cfRule type="cellIs" dxfId="1563" priority="373" operator="greaterThan">
      <formula>0.03</formula>
    </cfRule>
    <cfRule type="cellIs" dxfId="1562" priority="374" stopIfTrue="1" operator="lessThan">
      <formula>-0.03</formula>
    </cfRule>
  </conditionalFormatting>
  <conditionalFormatting sqref="I47">
    <cfRule type="cellIs" dxfId="1561" priority="371" operator="greaterThan">
      <formula>0.03</formula>
    </cfRule>
    <cfRule type="cellIs" dxfId="1560" priority="372" stopIfTrue="1" operator="lessThan">
      <formula>-0.03</formula>
    </cfRule>
  </conditionalFormatting>
  <conditionalFormatting sqref="I60:I62">
    <cfRule type="cellIs" dxfId="1559" priority="359" operator="greaterThan">
      <formula>0.03</formula>
    </cfRule>
    <cfRule type="cellIs" dxfId="1558" priority="360" stopIfTrue="1" operator="lessThan">
      <formula>-0.03</formula>
    </cfRule>
  </conditionalFormatting>
  <conditionalFormatting sqref="I60:I62">
    <cfRule type="cellIs" dxfId="1557" priority="357" operator="greaterThan">
      <formula>0.03</formula>
    </cfRule>
    <cfRule type="cellIs" dxfId="1556" priority="358" stopIfTrue="1" operator="lessThan">
      <formula>-0.03</formula>
    </cfRule>
  </conditionalFormatting>
  <conditionalFormatting sqref="I60:I62">
    <cfRule type="cellIs" dxfId="1555" priority="355" operator="greaterThan">
      <formula>0.03</formula>
    </cfRule>
    <cfRule type="cellIs" dxfId="1554" priority="356" stopIfTrue="1" operator="lessThan">
      <formula>-0.03</formula>
    </cfRule>
  </conditionalFormatting>
  <conditionalFormatting sqref="I60:I62">
    <cfRule type="cellIs" dxfId="1553" priority="353" operator="greaterThan">
      <formula>0.03</formula>
    </cfRule>
    <cfRule type="cellIs" dxfId="1552" priority="354" stopIfTrue="1" operator="lessThan">
      <formula>-0.03</formula>
    </cfRule>
  </conditionalFormatting>
  <conditionalFormatting sqref="I60:I62">
    <cfRule type="cellIs" dxfId="1551" priority="351" operator="greaterThan">
      <formula>0.03</formula>
    </cfRule>
    <cfRule type="cellIs" dxfId="1550" priority="352" stopIfTrue="1" operator="lessThan">
      <formula>-0.03</formula>
    </cfRule>
  </conditionalFormatting>
  <conditionalFormatting sqref="I59">
    <cfRule type="cellIs" dxfId="1549" priority="349" operator="greaterThan">
      <formula>0.03</formula>
    </cfRule>
    <cfRule type="cellIs" dxfId="1548" priority="350" stopIfTrue="1" operator="lessThan">
      <formula>-0.03</formula>
    </cfRule>
  </conditionalFormatting>
  <conditionalFormatting sqref="I59">
    <cfRule type="cellIs" dxfId="1547" priority="347" operator="greaterThan">
      <formula>0.03</formula>
    </cfRule>
    <cfRule type="cellIs" dxfId="1546" priority="348" stopIfTrue="1" operator="lessThan">
      <formula>-0.03</formula>
    </cfRule>
  </conditionalFormatting>
  <conditionalFormatting sqref="I59">
    <cfRule type="cellIs" dxfId="1545" priority="345" operator="greaterThan">
      <formula>0.03</formula>
    </cfRule>
    <cfRule type="cellIs" dxfId="1544" priority="346" stopIfTrue="1" operator="lessThan">
      <formula>-0.03</formula>
    </cfRule>
  </conditionalFormatting>
  <conditionalFormatting sqref="I59">
    <cfRule type="cellIs" dxfId="1543" priority="343" operator="greaterThan">
      <formula>0.03</formula>
    </cfRule>
    <cfRule type="cellIs" dxfId="1542" priority="344" stopIfTrue="1" operator="lessThan">
      <formula>-0.03</formula>
    </cfRule>
  </conditionalFormatting>
  <conditionalFormatting sqref="I59">
    <cfRule type="cellIs" dxfId="1541" priority="341" operator="greaterThan">
      <formula>0.03</formula>
    </cfRule>
    <cfRule type="cellIs" dxfId="1540" priority="342" stopIfTrue="1" operator="lessThan">
      <formula>-0.03</formula>
    </cfRule>
  </conditionalFormatting>
  <conditionalFormatting sqref="I4:I6 I8:I10">
    <cfRule type="cellIs" dxfId="1539" priority="339" operator="greaterThan">
      <formula>0.03</formula>
    </cfRule>
    <cfRule type="cellIs" dxfId="1538" priority="340" stopIfTrue="1" operator="lessThan">
      <formula>-0.03</formula>
    </cfRule>
  </conditionalFormatting>
  <conditionalFormatting sqref="I4:I6 I8:I10">
    <cfRule type="cellIs" dxfId="1537" priority="337" operator="greaterThan">
      <formula>0.03</formula>
    </cfRule>
    <cfRule type="cellIs" dxfId="1536" priority="338" stopIfTrue="1" operator="lessThan">
      <formula>-0.03</formula>
    </cfRule>
  </conditionalFormatting>
  <conditionalFormatting sqref="I4:I6 I8:I10">
    <cfRule type="cellIs" dxfId="1535" priority="335" operator="greaterThan">
      <formula>0.03</formula>
    </cfRule>
    <cfRule type="cellIs" dxfId="1534" priority="336" stopIfTrue="1" operator="lessThan">
      <formula>-0.03</formula>
    </cfRule>
  </conditionalFormatting>
  <conditionalFormatting sqref="I4:I6 I8:I10">
    <cfRule type="cellIs" dxfId="1533" priority="331" operator="greaterThan">
      <formula>0.03</formula>
    </cfRule>
    <cfRule type="cellIs" dxfId="1532" priority="332" stopIfTrue="1" operator="lessThan">
      <formula>-0.03</formula>
    </cfRule>
  </conditionalFormatting>
  <conditionalFormatting sqref="I4:I6 I8:I10">
    <cfRule type="cellIs" dxfId="1531" priority="333" operator="greaterThan">
      <formula>0.03</formula>
    </cfRule>
    <cfRule type="cellIs" dxfId="1530" priority="334" stopIfTrue="1" operator="lessThan">
      <formula>-0.03</formula>
    </cfRule>
  </conditionalFormatting>
  <conditionalFormatting sqref="I3">
    <cfRule type="cellIs" dxfId="1529" priority="329" operator="greaterThan">
      <formula>0.03</formula>
    </cfRule>
    <cfRule type="cellIs" dxfId="1528" priority="330" stopIfTrue="1" operator="lessThan">
      <formula>-0.03</formula>
    </cfRule>
  </conditionalFormatting>
  <conditionalFormatting sqref="I3">
    <cfRule type="cellIs" dxfId="1527" priority="327" operator="greaterThan">
      <formula>0.03</formula>
    </cfRule>
    <cfRule type="cellIs" dxfId="1526" priority="328" stopIfTrue="1" operator="lessThan">
      <formula>-0.03</formula>
    </cfRule>
  </conditionalFormatting>
  <conditionalFormatting sqref="I3">
    <cfRule type="cellIs" dxfId="1525" priority="325" operator="greaterThan">
      <formula>0.03</formula>
    </cfRule>
    <cfRule type="cellIs" dxfId="1524" priority="326" stopIfTrue="1" operator="lessThan">
      <formula>-0.03</formula>
    </cfRule>
  </conditionalFormatting>
  <conditionalFormatting sqref="I3">
    <cfRule type="cellIs" dxfId="1523" priority="323" operator="greaterThan">
      <formula>0.03</formula>
    </cfRule>
    <cfRule type="cellIs" dxfId="1522" priority="324" stopIfTrue="1" operator="lessThan">
      <formula>-0.03</formula>
    </cfRule>
  </conditionalFormatting>
  <conditionalFormatting sqref="I3">
    <cfRule type="cellIs" dxfId="1521" priority="321" operator="greaterThan">
      <formula>0.03</formula>
    </cfRule>
    <cfRule type="cellIs" dxfId="1520" priority="322" stopIfTrue="1" operator="lessThan">
      <formula>-0.03</formula>
    </cfRule>
  </conditionalFormatting>
  <conditionalFormatting sqref="I7">
    <cfRule type="cellIs" dxfId="1519" priority="319" operator="greaterThan">
      <formula>0.03</formula>
    </cfRule>
    <cfRule type="cellIs" dxfId="1518" priority="320" stopIfTrue="1" operator="lessThan">
      <formula>-0.03</formula>
    </cfRule>
  </conditionalFormatting>
  <conditionalFormatting sqref="I7">
    <cfRule type="cellIs" dxfId="1517" priority="317" operator="greaterThan">
      <formula>0.03</formula>
    </cfRule>
    <cfRule type="cellIs" dxfId="1516" priority="318" stopIfTrue="1" operator="lessThan">
      <formula>-0.03</formula>
    </cfRule>
  </conditionalFormatting>
  <conditionalFormatting sqref="I7">
    <cfRule type="cellIs" dxfId="1515" priority="315" operator="greaterThan">
      <formula>0.03</formula>
    </cfRule>
    <cfRule type="cellIs" dxfId="1514" priority="316" stopIfTrue="1" operator="lessThan">
      <formula>-0.03</formula>
    </cfRule>
  </conditionalFormatting>
  <conditionalFormatting sqref="I7">
    <cfRule type="cellIs" dxfId="1513" priority="313" operator="greaterThan">
      <formula>0.03</formula>
    </cfRule>
    <cfRule type="cellIs" dxfId="1512" priority="314" stopIfTrue="1" operator="lessThan">
      <formula>-0.03</formula>
    </cfRule>
  </conditionalFormatting>
  <conditionalFormatting sqref="I7">
    <cfRule type="cellIs" dxfId="1511" priority="311" operator="greaterThan">
      <formula>0.03</formula>
    </cfRule>
    <cfRule type="cellIs" dxfId="1510" priority="312" stopIfTrue="1" operator="lessThan">
      <formula>-0.03</formula>
    </cfRule>
  </conditionalFormatting>
  <conditionalFormatting sqref="I15">
    <cfRule type="cellIs" dxfId="1509" priority="309" operator="greaterThan">
      <formula>0.03</formula>
    </cfRule>
    <cfRule type="cellIs" dxfId="1508" priority="310" stopIfTrue="1" operator="lessThan">
      <formula>-0.03</formula>
    </cfRule>
  </conditionalFormatting>
  <conditionalFormatting sqref="I15">
    <cfRule type="cellIs" dxfId="1507" priority="307" operator="greaterThan">
      <formula>0.03</formula>
    </cfRule>
    <cfRule type="cellIs" dxfId="1506" priority="308" stopIfTrue="1" operator="lessThan">
      <formula>-0.03</formula>
    </cfRule>
  </conditionalFormatting>
  <conditionalFormatting sqref="I15">
    <cfRule type="cellIs" dxfId="1505" priority="305" operator="greaterThan">
      <formula>0.03</formula>
    </cfRule>
    <cfRule type="cellIs" dxfId="1504" priority="306" stopIfTrue="1" operator="lessThan">
      <formula>-0.03</formula>
    </cfRule>
  </conditionalFormatting>
  <conditionalFormatting sqref="I15">
    <cfRule type="cellIs" dxfId="1503" priority="303" operator="greaterThan">
      <formula>0.03</formula>
    </cfRule>
    <cfRule type="cellIs" dxfId="1502" priority="304" stopIfTrue="1" operator="lessThan">
      <formula>-0.03</formula>
    </cfRule>
  </conditionalFormatting>
  <conditionalFormatting sqref="I15">
    <cfRule type="cellIs" dxfId="1501" priority="301" operator="greaterThan">
      <formula>0.03</formula>
    </cfRule>
    <cfRule type="cellIs" dxfId="1500" priority="302" stopIfTrue="1" operator="lessThan">
      <formula>-0.03</formula>
    </cfRule>
  </conditionalFormatting>
  <conditionalFormatting sqref="I72:I74">
    <cfRule type="cellIs" dxfId="1499" priority="299" operator="greaterThan">
      <formula>0.03</formula>
    </cfRule>
    <cfRule type="cellIs" dxfId="1498" priority="300" stopIfTrue="1" operator="lessThan">
      <formula>-0.03</formula>
    </cfRule>
  </conditionalFormatting>
  <conditionalFormatting sqref="I72:I74">
    <cfRule type="cellIs" dxfId="1497" priority="297" operator="greaterThan">
      <formula>0.03</formula>
    </cfRule>
    <cfRule type="cellIs" dxfId="1496" priority="298" stopIfTrue="1" operator="lessThan">
      <formula>-0.03</formula>
    </cfRule>
  </conditionalFormatting>
  <conditionalFormatting sqref="I72:I74">
    <cfRule type="cellIs" dxfId="1495" priority="295" operator="greaterThan">
      <formula>0.03</formula>
    </cfRule>
    <cfRule type="cellIs" dxfId="1494" priority="296" stopIfTrue="1" operator="lessThan">
      <formula>-0.03</formula>
    </cfRule>
  </conditionalFormatting>
  <conditionalFormatting sqref="I72:I74">
    <cfRule type="cellIs" dxfId="1493" priority="293" operator="greaterThan">
      <formula>0.03</formula>
    </cfRule>
    <cfRule type="cellIs" dxfId="1492" priority="294" stopIfTrue="1" operator="lessThan">
      <formula>-0.03</formula>
    </cfRule>
  </conditionalFormatting>
  <conditionalFormatting sqref="I72:I74">
    <cfRule type="cellIs" dxfId="1491" priority="291" operator="greaterThan">
      <formula>0.03</formula>
    </cfRule>
    <cfRule type="cellIs" dxfId="1490" priority="292" stopIfTrue="1" operator="lessThan">
      <formula>-0.03</formula>
    </cfRule>
  </conditionalFormatting>
  <conditionalFormatting sqref="I68:I70">
    <cfRule type="cellIs" dxfId="1489" priority="289" operator="greaterThan">
      <formula>0.03</formula>
    </cfRule>
    <cfRule type="cellIs" dxfId="1488" priority="290" stopIfTrue="1" operator="lessThan">
      <formula>-0.03</formula>
    </cfRule>
  </conditionalFormatting>
  <conditionalFormatting sqref="I68:I70">
    <cfRule type="cellIs" dxfId="1487" priority="287" operator="greaterThan">
      <formula>0.03</formula>
    </cfRule>
    <cfRule type="cellIs" dxfId="1486" priority="288" stopIfTrue="1" operator="lessThan">
      <formula>-0.03</formula>
    </cfRule>
  </conditionalFormatting>
  <conditionalFormatting sqref="I71">
    <cfRule type="cellIs" dxfId="1485" priority="269" operator="greaterThan">
      <formula>0.03</formula>
    </cfRule>
    <cfRule type="cellIs" dxfId="1484" priority="270" stopIfTrue="1" operator="lessThan">
      <formula>-0.03</formula>
    </cfRule>
  </conditionalFormatting>
  <conditionalFormatting sqref="I71">
    <cfRule type="cellIs" dxfId="1483" priority="267" operator="greaterThan">
      <formula>0.03</formula>
    </cfRule>
    <cfRule type="cellIs" dxfId="1482" priority="268" stopIfTrue="1" operator="lessThan">
      <formula>-0.03</formula>
    </cfRule>
  </conditionalFormatting>
  <conditionalFormatting sqref="I71">
    <cfRule type="cellIs" dxfId="1481" priority="265" operator="greaterThan">
      <formula>0.03</formula>
    </cfRule>
    <cfRule type="cellIs" dxfId="1480" priority="266" stopIfTrue="1" operator="lessThan">
      <formula>-0.03</formula>
    </cfRule>
  </conditionalFormatting>
  <conditionalFormatting sqref="I71">
    <cfRule type="cellIs" dxfId="1479" priority="263" operator="greaterThan">
      <formula>0.03</formula>
    </cfRule>
    <cfRule type="cellIs" dxfId="1478" priority="264" stopIfTrue="1" operator="lessThan">
      <formula>-0.03</formula>
    </cfRule>
  </conditionalFormatting>
  <conditionalFormatting sqref="I71">
    <cfRule type="cellIs" dxfId="1477" priority="261" operator="greaterThan">
      <formula>0.03</formula>
    </cfRule>
    <cfRule type="cellIs" dxfId="1476" priority="262" stopIfTrue="1" operator="lessThan">
      <formula>-0.03</formula>
    </cfRule>
  </conditionalFormatting>
  <conditionalFormatting sqref="I68:I70">
    <cfRule type="cellIs" dxfId="1475" priority="285" operator="greaterThan">
      <formula>0.03</formula>
    </cfRule>
    <cfRule type="cellIs" dxfId="1474" priority="286" stopIfTrue="1" operator="lessThan">
      <formula>-0.03</formula>
    </cfRule>
  </conditionalFormatting>
  <conditionalFormatting sqref="I68:I70">
    <cfRule type="cellIs" dxfId="1473" priority="281" operator="greaterThan">
      <formula>0.03</formula>
    </cfRule>
    <cfRule type="cellIs" dxfId="1472" priority="282" stopIfTrue="1" operator="lessThan">
      <formula>-0.03</formula>
    </cfRule>
  </conditionalFormatting>
  <conditionalFormatting sqref="I68:I70">
    <cfRule type="cellIs" dxfId="1471" priority="283" operator="greaterThan">
      <formula>0.03</formula>
    </cfRule>
    <cfRule type="cellIs" dxfId="1470" priority="284" stopIfTrue="1" operator="lessThan">
      <formula>-0.03</formula>
    </cfRule>
  </conditionalFormatting>
  <conditionalFormatting sqref="I67">
    <cfRule type="cellIs" dxfId="1469" priority="279" operator="greaterThan">
      <formula>0.03</formula>
    </cfRule>
    <cfRule type="cellIs" dxfId="1468" priority="280" stopIfTrue="1" operator="lessThan">
      <formula>-0.03</formula>
    </cfRule>
  </conditionalFormatting>
  <conditionalFormatting sqref="I67">
    <cfRule type="cellIs" dxfId="1467" priority="277" operator="greaterThan">
      <formula>0.03</formula>
    </cfRule>
    <cfRule type="cellIs" dxfId="1466" priority="278" stopIfTrue="1" operator="lessThan">
      <formula>-0.03</formula>
    </cfRule>
  </conditionalFormatting>
  <conditionalFormatting sqref="I67">
    <cfRule type="cellIs" dxfId="1465" priority="275" operator="greaterThan">
      <formula>0.03</formula>
    </cfRule>
    <cfRule type="cellIs" dxfId="1464" priority="276" stopIfTrue="1" operator="lessThan">
      <formula>-0.03</formula>
    </cfRule>
  </conditionalFormatting>
  <conditionalFormatting sqref="I67">
    <cfRule type="cellIs" dxfId="1463" priority="273" operator="greaterThan">
      <formula>0.03</formula>
    </cfRule>
    <cfRule type="cellIs" dxfId="1462" priority="274" stopIfTrue="1" operator="lessThan">
      <formula>-0.03</formula>
    </cfRule>
  </conditionalFormatting>
  <conditionalFormatting sqref="I67">
    <cfRule type="cellIs" dxfId="1461" priority="271" operator="greaterThan">
      <formula>0.03</formula>
    </cfRule>
    <cfRule type="cellIs" dxfId="1460" priority="272" stopIfTrue="1" operator="lessThan">
      <formula>-0.03</formula>
    </cfRule>
  </conditionalFormatting>
  <conditionalFormatting sqref="I92:I94">
    <cfRule type="cellIs" dxfId="1459" priority="259" operator="greaterThan">
      <formula>0.03</formula>
    </cfRule>
    <cfRule type="cellIs" dxfId="1458" priority="260" stopIfTrue="1" operator="lessThan">
      <formula>-0.03</formula>
    </cfRule>
  </conditionalFormatting>
  <conditionalFormatting sqref="I92:I94">
    <cfRule type="cellIs" dxfId="1457" priority="257" operator="greaterThan">
      <formula>0.03</formula>
    </cfRule>
    <cfRule type="cellIs" dxfId="1456" priority="258" stopIfTrue="1" operator="lessThan">
      <formula>-0.03</formula>
    </cfRule>
  </conditionalFormatting>
  <conditionalFormatting sqref="I92:I94">
    <cfRule type="cellIs" dxfId="1455" priority="255" operator="greaterThan">
      <formula>0.03</formula>
    </cfRule>
    <cfRule type="cellIs" dxfId="1454" priority="256" stopIfTrue="1" operator="lessThan">
      <formula>-0.03</formula>
    </cfRule>
  </conditionalFormatting>
  <conditionalFormatting sqref="I92:I94">
    <cfRule type="cellIs" dxfId="1453" priority="253" operator="greaterThan">
      <formula>0.03</formula>
    </cfRule>
    <cfRule type="cellIs" dxfId="1452" priority="254" stopIfTrue="1" operator="lessThan">
      <formula>-0.03</formula>
    </cfRule>
  </conditionalFormatting>
  <conditionalFormatting sqref="I92:I94">
    <cfRule type="cellIs" dxfId="1451" priority="251" operator="greaterThan">
      <formula>0.03</formula>
    </cfRule>
    <cfRule type="cellIs" dxfId="1450" priority="252" stopIfTrue="1" operator="lessThan">
      <formula>-0.03</formula>
    </cfRule>
  </conditionalFormatting>
  <conditionalFormatting sqref="I84:I86">
    <cfRule type="cellIs" dxfId="1449" priority="249" operator="greaterThan">
      <formula>0.03</formula>
    </cfRule>
    <cfRule type="cellIs" dxfId="1448" priority="250" stopIfTrue="1" operator="lessThan">
      <formula>-0.03</formula>
    </cfRule>
  </conditionalFormatting>
  <conditionalFormatting sqref="I84:I86">
    <cfRule type="cellIs" dxfId="1447" priority="247" operator="greaterThan">
      <formula>0.03</formula>
    </cfRule>
    <cfRule type="cellIs" dxfId="1446" priority="248" stopIfTrue="1" operator="lessThan">
      <formula>-0.03</formula>
    </cfRule>
  </conditionalFormatting>
  <conditionalFormatting sqref="I91">
    <cfRule type="cellIs" dxfId="1445" priority="229" operator="greaterThan">
      <formula>0.03</formula>
    </cfRule>
    <cfRule type="cellIs" dxfId="1444" priority="230" stopIfTrue="1" operator="lessThan">
      <formula>-0.03</formula>
    </cfRule>
  </conditionalFormatting>
  <conditionalFormatting sqref="I91">
    <cfRule type="cellIs" dxfId="1443" priority="227" operator="greaterThan">
      <formula>0.03</formula>
    </cfRule>
    <cfRule type="cellIs" dxfId="1442" priority="228" stopIfTrue="1" operator="lessThan">
      <formula>-0.03</formula>
    </cfRule>
  </conditionalFormatting>
  <conditionalFormatting sqref="I91">
    <cfRule type="cellIs" dxfId="1441" priority="225" operator="greaterThan">
      <formula>0.03</formula>
    </cfRule>
    <cfRule type="cellIs" dxfId="1440" priority="226" stopIfTrue="1" operator="lessThan">
      <formula>-0.03</formula>
    </cfRule>
  </conditionalFormatting>
  <conditionalFormatting sqref="I91">
    <cfRule type="cellIs" dxfId="1439" priority="223" operator="greaterThan">
      <formula>0.03</formula>
    </cfRule>
    <cfRule type="cellIs" dxfId="1438" priority="224" stopIfTrue="1" operator="lessThan">
      <formula>-0.03</formula>
    </cfRule>
  </conditionalFormatting>
  <conditionalFormatting sqref="I91">
    <cfRule type="cellIs" dxfId="1437" priority="221" operator="greaterThan">
      <formula>0.03</formula>
    </cfRule>
    <cfRule type="cellIs" dxfId="1436" priority="222" stopIfTrue="1" operator="lessThan">
      <formula>-0.03</formula>
    </cfRule>
  </conditionalFormatting>
  <conditionalFormatting sqref="I84:I86">
    <cfRule type="cellIs" dxfId="1435" priority="245" operator="greaterThan">
      <formula>0.03</formula>
    </cfRule>
    <cfRule type="cellIs" dxfId="1434" priority="246" stopIfTrue="1" operator="lessThan">
      <formula>-0.03</formula>
    </cfRule>
  </conditionalFormatting>
  <conditionalFormatting sqref="I84:I86">
    <cfRule type="cellIs" dxfId="1433" priority="241" operator="greaterThan">
      <formula>0.03</formula>
    </cfRule>
    <cfRule type="cellIs" dxfId="1432" priority="242" stopIfTrue="1" operator="lessThan">
      <formula>-0.03</formula>
    </cfRule>
  </conditionalFormatting>
  <conditionalFormatting sqref="I84:I86">
    <cfRule type="cellIs" dxfId="1431" priority="243" operator="greaterThan">
      <formula>0.03</formula>
    </cfRule>
    <cfRule type="cellIs" dxfId="1430" priority="244" stopIfTrue="1" operator="lessThan">
      <formula>-0.03</formula>
    </cfRule>
  </conditionalFormatting>
  <conditionalFormatting sqref="I83">
    <cfRule type="cellIs" dxfId="1429" priority="239" operator="greaterThan">
      <formula>0.03</formula>
    </cfRule>
    <cfRule type="cellIs" dxfId="1428" priority="240" stopIfTrue="1" operator="lessThan">
      <formula>-0.03</formula>
    </cfRule>
  </conditionalFormatting>
  <conditionalFormatting sqref="I83">
    <cfRule type="cellIs" dxfId="1427" priority="237" operator="greaterThan">
      <formula>0.03</formula>
    </cfRule>
    <cfRule type="cellIs" dxfId="1426" priority="238" stopIfTrue="1" operator="lessThan">
      <formula>-0.03</formula>
    </cfRule>
  </conditionalFormatting>
  <conditionalFormatting sqref="I83">
    <cfRule type="cellIs" dxfId="1425" priority="235" operator="greaterThan">
      <formula>0.03</formula>
    </cfRule>
    <cfRule type="cellIs" dxfId="1424" priority="236" stopIfTrue="1" operator="lessThan">
      <formula>-0.03</formula>
    </cfRule>
  </conditionalFormatting>
  <conditionalFormatting sqref="I83">
    <cfRule type="cellIs" dxfId="1423" priority="233" operator="greaterThan">
      <formula>0.03</formula>
    </cfRule>
    <cfRule type="cellIs" dxfId="1422" priority="234" stopIfTrue="1" operator="lessThan">
      <formula>-0.03</formula>
    </cfRule>
  </conditionalFormatting>
  <conditionalFormatting sqref="I83">
    <cfRule type="cellIs" dxfId="1421" priority="231" operator="greaterThan">
      <formula>0.03</formula>
    </cfRule>
    <cfRule type="cellIs" dxfId="1420" priority="232" stopIfTrue="1" operator="lessThan">
      <formula>-0.03</formula>
    </cfRule>
  </conditionalFormatting>
  <conditionalFormatting sqref="I80:I82">
    <cfRule type="cellIs" dxfId="1419" priority="219" operator="greaterThan">
      <formula>0.03</formula>
    </cfRule>
    <cfRule type="cellIs" dxfId="1418" priority="220" stopIfTrue="1" operator="lessThan">
      <formula>-0.03</formula>
    </cfRule>
  </conditionalFormatting>
  <conditionalFormatting sqref="I80:I82">
    <cfRule type="cellIs" dxfId="1417" priority="217" operator="greaterThan">
      <formula>0.03</formula>
    </cfRule>
    <cfRule type="cellIs" dxfId="1416" priority="218" stopIfTrue="1" operator="lessThan">
      <formula>-0.03</formula>
    </cfRule>
  </conditionalFormatting>
  <conditionalFormatting sqref="I80:I82">
    <cfRule type="cellIs" dxfId="1415" priority="215" operator="greaterThan">
      <formula>0.03</formula>
    </cfRule>
    <cfRule type="cellIs" dxfId="1414" priority="216" stopIfTrue="1" operator="lessThan">
      <formula>-0.03</formula>
    </cfRule>
  </conditionalFormatting>
  <conditionalFormatting sqref="I80:I82">
    <cfRule type="cellIs" dxfId="1413" priority="213" operator="greaterThan">
      <formula>0.03</formula>
    </cfRule>
    <cfRule type="cellIs" dxfId="1412" priority="214" stopIfTrue="1" operator="lessThan">
      <formula>-0.03</formula>
    </cfRule>
  </conditionalFormatting>
  <conditionalFormatting sqref="I80:I82">
    <cfRule type="cellIs" dxfId="1411" priority="211" operator="greaterThan">
      <formula>0.03</formula>
    </cfRule>
    <cfRule type="cellIs" dxfId="1410" priority="212" stopIfTrue="1" operator="lessThan">
      <formula>-0.03</formula>
    </cfRule>
  </conditionalFormatting>
  <conditionalFormatting sqref="I76:I78">
    <cfRule type="cellIs" dxfId="1409" priority="209" operator="greaterThan">
      <formula>0.03</formula>
    </cfRule>
    <cfRule type="cellIs" dxfId="1408" priority="210" stopIfTrue="1" operator="lessThan">
      <formula>-0.03</formula>
    </cfRule>
  </conditionalFormatting>
  <conditionalFormatting sqref="I76:I78">
    <cfRule type="cellIs" dxfId="1407" priority="207" operator="greaterThan">
      <formula>0.03</formula>
    </cfRule>
    <cfRule type="cellIs" dxfId="1406" priority="208" stopIfTrue="1" operator="lessThan">
      <formula>-0.03</formula>
    </cfRule>
  </conditionalFormatting>
  <conditionalFormatting sqref="I79">
    <cfRule type="cellIs" dxfId="1405" priority="189" operator="greaterThan">
      <formula>0.03</formula>
    </cfRule>
    <cfRule type="cellIs" dxfId="1404" priority="190" stopIfTrue="1" operator="lessThan">
      <formula>-0.03</formula>
    </cfRule>
  </conditionalFormatting>
  <conditionalFormatting sqref="I79">
    <cfRule type="cellIs" dxfId="1403" priority="187" operator="greaterThan">
      <formula>0.03</formula>
    </cfRule>
    <cfRule type="cellIs" dxfId="1402" priority="188" stopIfTrue="1" operator="lessThan">
      <formula>-0.03</formula>
    </cfRule>
  </conditionalFormatting>
  <conditionalFormatting sqref="I79">
    <cfRule type="cellIs" dxfId="1401" priority="185" operator="greaterThan">
      <formula>0.03</formula>
    </cfRule>
    <cfRule type="cellIs" dxfId="1400" priority="186" stopIfTrue="1" operator="lessThan">
      <formula>-0.03</formula>
    </cfRule>
  </conditionalFormatting>
  <conditionalFormatting sqref="I79">
    <cfRule type="cellIs" dxfId="1399" priority="183" operator="greaterThan">
      <formula>0.03</formula>
    </cfRule>
    <cfRule type="cellIs" dxfId="1398" priority="184" stopIfTrue="1" operator="lessThan">
      <formula>-0.03</formula>
    </cfRule>
  </conditionalFormatting>
  <conditionalFormatting sqref="I79">
    <cfRule type="cellIs" dxfId="1397" priority="181" operator="greaterThan">
      <formula>0.03</formula>
    </cfRule>
    <cfRule type="cellIs" dxfId="1396" priority="182" stopIfTrue="1" operator="lessThan">
      <formula>-0.03</formula>
    </cfRule>
  </conditionalFormatting>
  <conditionalFormatting sqref="I76:I78">
    <cfRule type="cellIs" dxfId="1395" priority="205" operator="greaterThan">
      <formula>0.03</formula>
    </cfRule>
    <cfRule type="cellIs" dxfId="1394" priority="206" stopIfTrue="1" operator="lessThan">
      <formula>-0.03</formula>
    </cfRule>
  </conditionalFormatting>
  <conditionalFormatting sqref="I76:I78">
    <cfRule type="cellIs" dxfId="1393" priority="201" operator="greaterThan">
      <formula>0.03</formula>
    </cfRule>
    <cfRule type="cellIs" dxfId="1392" priority="202" stopIfTrue="1" operator="lessThan">
      <formula>-0.03</formula>
    </cfRule>
  </conditionalFormatting>
  <conditionalFormatting sqref="I76:I78">
    <cfRule type="cellIs" dxfId="1391" priority="203" operator="greaterThan">
      <formula>0.03</formula>
    </cfRule>
    <cfRule type="cellIs" dxfId="1390" priority="204" stopIfTrue="1" operator="lessThan">
      <formula>-0.03</formula>
    </cfRule>
  </conditionalFormatting>
  <conditionalFormatting sqref="I75">
    <cfRule type="cellIs" dxfId="1389" priority="199" operator="greaterThan">
      <formula>0.03</formula>
    </cfRule>
    <cfRule type="cellIs" dxfId="1388" priority="200" stopIfTrue="1" operator="lessThan">
      <formula>-0.03</formula>
    </cfRule>
  </conditionalFormatting>
  <conditionalFormatting sqref="I75">
    <cfRule type="cellIs" dxfId="1387" priority="197" operator="greaterThan">
      <formula>0.03</formula>
    </cfRule>
    <cfRule type="cellIs" dxfId="1386" priority="198" stopIfTrue="1" operator="lessThan">
      <formula>-0.03</formula>
    </cfRule>
  </conditionalFormatting>
  <conditionalFormatting sqref="I75">
    <cfRule type="cellIs" dxfId="1385" priority="195" operator="greaterThan">
      <formula>0.03</formula>
    </cfRule>
    <cfRule type="cellIs" dxfId="1384" priority="196" stopIfTrue="1" operator="lessThan">
      <formula>-0.03</formula>
    </cfRule>
  </conditionalFormatting>
  <conditionalFormatting sqref="I75">
    <cfRule type="cellIs" dxfId="1383" priority="193" operator="greaterThan">
      <formula>0.03</formula>
    </cfRule>
    <cfRule type="cellIs" dxfId="1382" priority="194" stopIfTrue="1" operator="lessThan">
      <formula>-0.03</formula>
    </cfRule>
  </conditionalFormatting>
  <conditionalFormatting sqref="I75">
    <cfRule type="cellIs" dxfId="1381" priority="191" operator="greaterThan">
      <formula>0.03</formula>
    </cfRule>
    <cfRule type="cellIs" dxfId="1380" priority="192" stopIfTrue="1" operator="lessThan">
      <formula>-0.03</formula>
    </cfRule>
  </conditionalFormatting>
  <conditionalFormatting sqref="I88:I90">
    <cfRule type="cellIs" dxfId="1379" priority="179" operator="greaterThan">
      <formula>0.03</formula>
    </cfRule>
    <cfRule type="cellIs" dxfId="1378" priority="180" stopIfTrue="1" operator="lessThan">
      <formula>-0.03</formula>
    </cfRule>
  </conditionalFormatting>
  <conditionalFormatting sqref="I88:I90">
    <cfRule type="cellIs" dxfId="1377" priority="177" operator="greaterThan">
      <formula>0.03</formula>
    </cfRule>
    <cfRule type="cellIs" dxfId="1376" priority="178" stopIfTrue="1" operator="lessThan">
      <formula>-0.03</formula>
    </cfRule>
  </conditionalFormatting>
  <conditionalFormatting sqref="I88:I90">
    <cfRule type="cellIs" dxfId="1375" priority="175" operator="greaterThan">
      <formula>0.03</formula>
    </cfRule>
    <cfRule type="cellIs" dxfId="1374" priority="176" stopIfTrue="1" operator="lessThan">
      <formula>-0.03</formula>
    </cfRule>
  </conditionalFormatting>
  <conditionalFormatting sqref="I88:I90">
    <cfRule type="cellIs" dxfId="1373" priority="173" operator="greaterThan">
      <formula>0.03</formula>
    </cfRule>
    <cfRule type="cellIs" dxfId="1372" priority="174" stopIfTrue="1" operator="lessThan">
      <formula>-0.03</formula>
    </cfRule>
  </conditionalFormatting>
  <conditionalFormatting sqref="I88:I90">
    <cfRule type="cellIs" dxfId="1371" priority="171" operator="greaterThan">
      <formula>0.03</formula>
    </cfRule>
    <cfRule type="cellIs" dxfId="1370" priority="172" stopIfTrue="1" operator="lessThan">
      <formula>-0.03</formula>
    </cfRule>
  </conditionalFormatting>
  <conditionalFormatting sqref="I87">
    <cfRule type="cellIs" dxfId="1369" priority="169" operator="greaterThan">
      <formula>0.03</formula>
    </cfRule>
    <cfRule type="cellIs" dxfId="1368" priority="170" stopIfTrue="1" operator="lessThan">
      <formula>-0.03</formula>
    </cfRule>
  </conditionalFormatting>
  <conditionalFormatting sqref="I87">
    <cfRule type="cellIs" dxfId="1367" priority="167" operator="greaterThan">
      <formula>0.03</formula>
    </cfRule>
    <cfRule type="cellIs" dxfId="1366" priority="168" stopIfTrue="1" operator="lessThan">
      <formula>-0.03</formula>
    </cfRule>
  </conditionalFormatting>
  <conditionalFormatting sqref="I87">
    <cfRule type="cellIs" dxfId="1365" priority="165" operator="greaterThan">
      <formula>0.03</formula>
    </cfRule>
    <cfRule type="cellIs" dxfId="1364" priority="166" stopIfTrue="1" operator="lessThan">
      <formula>-0.03</formula>
    </cfRule>
  </conditionalFormatting>
  <conditionalFormatting sqref="I87">
    <cfRule type="cellIs" dxfId="1363" priority="163" operator="greaterThan">
      <formula>0.03</formula>
    </cfRule>
    <cfRule type="cellIs" dxfId="1362" priority="164" stopIfTrue="1" operator="lessThan">
      <formula>-0.03</formula>
    </cfRule>
  </conditionalFormatting>
  <conditionalFormatting sqref="I87">
    <cfRule type="cellIs" dxfId="1361" priority="161" operator="greaterThan">
      <formula>0.03</formula>
    </cfRule>
    <cfRule type="cellIs" dxfId="1360" priority="162" stopIfTrue="1" operator="lessThan">
      <formula>-0.03</formula>
    </cfRule>
  </conditionalFormatting>
  <conditionalFormatting sqref="I100:I102">
    <cfRule type="cellIs" dxfId="1359" priority="159" operator="greaterThan">
      <formula>0.03</formula>
    </cfRule>
    <cfRule type="cellIs" dxfId="1358" priority="160" stopIfTrue="1" operator="lessThan">
      <formula>-0.03</formula>
    </cfRule>
  </conditionalFormatting>
  <conditionalFormatting sqref="I100:I102">
    <cfRule type="cellIs" dxfId="1357" priority="157" operator="greaterThan">
      <formula>0.03</formula>
    </cfRule>
    <cfRule type="cellIs" dxfId="1356" priority="158" stopIfTrue="1" operator="lessThan">
      <formula>-0.03</formula>
    </cfRule>
  </conditionalFormatting>
  <conditionalFormatting sqref="I100:I102">
    <cfRule type="cellIs" dxfId="1355" priority="155" operator="greaterThan">
      <formula>0.03</formula>
    </cfRule>
    <cfRule type="cellIs" dxfId="1354" priority="156" stopIfTrue="1" operator="lessThan">
      <formula>-0.03</formula>
    </cfRule>
  </conditionalFormatting>
  <conditionalFormatting sqref="I100:I102">
    <cfRule type="cellIs" dxfId="1353" priority="153" operator="greaterThan">
      <formula>0.03</formula>
    </cfRule>
    <cfRule type="cellIs" dxfId="1352" priority="154" stopIfTrue="1" operator="lessThan">
      <formula>-0.03</formula>
    </cfRule>
  </conditionalFormatting>
  <conditionalFormatting sqref="I100:I102">
    <cfRule type="cellIs" dxfId="1351" priority="151" operator="greaterThan">
      <formula>0.03</formula>
    </cfRule>
    <cfRule type="cellIs" dxfId="1350" priority="152" stopIfTrue="1" operator="lessThan">
      <formula>-0.03</formula>
    </cfRule>
  </conditionalFormatting>
  <conditionalFormatting sqref="I96:I98">
    <cfRule type="cellIs" dxfId="1349" priority="149" operator="greaterThan">
      <formula>0.03</formula>
    </cfRule>
    <cfRule type="cellIs" dxfId="1348" priority="150" stopIfTrue="1" operator="lessThan">
      <formula>-0.03</formula>
    </cfRule>
  </conditionalFormatting>
  <conditionalFormatting sqref="I96:I98">
    <cfRule type="cellIs" dxfId="1347" priority="147" operator="greaterThan">
      <formula>0.03</formula>
    </cfRule>
    <cfRule type="cellIs" dxfId="1346" priority="148" stopIfTrue="1" operator="lessThan">
      <formula>-0.03</formula>
    </cfRule>
  </conditionalFormatting>
  <conditionalFormatting sqref="I99">
    <cfRule type="cellIs" dxfId="1345" priority="129" operator="greaterThan">
      <formula>0.03</formula>
    </cfRule>
    <cfRule type="cellIs" dxfId="1344" priority="130" stopIfTrue="1" operator="lessThan">
      <formula>-0.03</formula>
    </cfRule>
  </conditionalFormatting>
  <conditionalFormatting sqref="I99">
    <cfRule type="cellIs" dxfId="1343" priority="127" operator="greaterThan">
      <formula>0.03</formula>
    </cfRule>
    <cfRule type="cellIs" dxfId="1342" priority="128" stopIfTrue="1" operator="lessThan">
      <formula>-0.03</formula>
    </cfRule>
  </conditionalFormatting>
  <conditionalFormatting sqref="I99">
    <cfRule type="cellIs" dxfId="1341" priority="125" operator="greaterThan">
      <formula>0.03</formula>
    </cfRule>
    <cfRule type="cellIs" dxfId="1340" priority="126" stopIfTrue="1" operator="lessThan">
      <formula>-0.03</formula>
    </cfRule>
  </conditionalFormatting>
  <conditionalFormatting sqref="I99">
    <cfRule type="cellIs" dxfId="1339" priority="123" operator="greaterThan">
      <formula>0.03</formula>
    </cfRule>
    <cfRule type="cellIs" dxfId="1338" priority="124" stopIfTrue="1" operator="lessThan">
      <formula>-0.03</formula>
    </cfRule>
  </conditionalFormatting>
  <conditionalFormatting sqref="I99">
    <cfRule type="cellIs" dxfId="1337" priority="121" operator="greaterThan">
      <formula>0.03</formula>
    </cfRule>
    <cfRule type="cellIs" dxfId="1336" priority="122" stopIfTrue="1" operator="lessThan">
      <formula>-0.03</formula>
    </cfRule>
  </conditionalFormatting>
  <conditionalFormatting sqref="I96:I98">
    <cfRule type="cellIs" dxfId="1335" priority="145" operator="greaterThan">
      <formula>0.03</formula>
    </cfRule>
    <cfRule type="cellIs" dxfId="1334" priority="146" stopIfTrue="1" operator="lessThan">
      <formula>-0.03</formula>
    </cfRule>
  </conditionalFormatting>
  <conditionalFormatting sqref="I96:I98">
    <cfRule type="cellIs" dxfId="1333" priority="141" operator="greaterThan">
      <formula>0.03</formula>
    </cfRule>
    <cfRule type="cellIs" dxfId="1332" priority="142" stopIfTrue="1" operator="lessThan">
      <formula>-0.03</formula>
    </cfRule>
  </conditionalFormatting>
  <conditionalFormatting sqref="I96:I98">
    <cfRule type="cellIs" dxfId="1331" priority="143" operator="greaterThan">
      <formula>0.03</formula>
    </cfRule>
    <cfRule type="cellIs" dxfId="1330" priority="144" stopIfTrue="1" operator="lessThan">
      <formula>-0.03</formula>
    </cfRule>
  </conditionalFormatting>
  <conditionalFormatting sqref="I95">
    <cfRule type="cellIs" dxfId="1329" priority="139" operator="greaterThan">
      <formula>0.03</formula>
    </cfRule>
    <cfRule type="cellIs" dxfId="1328" priority="140" stopIfTrue="1" operator="lessThan">
      <formula>-0.03</formula>
    </cfRule>
  </conditionalFormatting>
  <conditionalFormatting sqref="I95">
    <cfRule type="cellIs" dxfId="1327" priority="137" operator="greaterThan">
      <formula>0.03</formula>
    </cfRule>
    <cfRule type="cellIs" dxfId="1326" priority="138" stopIfTrue="1" operator="lessThan">
      <formula>-0.03</formula>
    </cfRule>
  </conditionalFormatting>
  <conditionalFormatting sqref="I95">
    <cfRule type="cellIs" dxfId="1325" priority="135" operator="greaterThan">
      <formula>0.03</formula>
    </cfRule>
    <cfRule type="cellIs" dxfId="1324" priority="136" stopIfTrue="1" operator="lessThan">
      <formula>-0.03</formula>
    </cfRule>
  </conditionalFormatting>
  <conditionalFormatting sqref="I95">
    <cfRule type="cellIs" dxfId="1323" priority="133" operator="greaterThan">
      <formula>0.03</formula>
    </cfRule>
    <cfRule type="cellIs" dxfId="1322" priority="134" stopIfTrue="1" operator="lessThan">
      <formula>-0.03</formula>
    </cfRule>
  </conditionalFormatting>
  <conditionalFormatting sqref="I95">
    <cfRule type="cellIs" dxfId="1321" priority="131" operator="greaterThan">
      <formula>0.03</formula>
    </cfRule>
    <cfRule type="cellIs" dxfId="1320" priority="132" stopIfTrue="1" operator="lessThan">
      <formula>-0.03</formula>
    </cfRule>
  </conditionalFormatting>
  <conditionalFormatting sqref="I120:I122">
    <cfRule type="cellIs" dxfId="1319" priority="119" operator="greaterThan">
      <formula>0.03</formula>
    </cfRule>
    <cfRule type="cellIs" dxfId="1318" priority="120" stopIfTrue="1" operator="lessThan">
      <formula>-0.03</formula>
    </cfRule>
  </conditionalFormatting>
  <conditionalFormatting sqref="I120:I122">
    <cfRule type="cellIs" dxfId="1317" priority="117" operator="greaterThan">
      <formula>0.03</formula>
    </cfRule>
    <cfRule type="cellIs" dxfId="1316" priority="118" stopIfTrue="1" operator="lessThan">
      <formula>-0.03</formula>
    </cfRule>
  </conditionalFormatting>
  <conditionalFormatting sqref="I120:I122">
    <cfRule type="cellIs" dxfId="1315" priority="115" operator="greaterThan">
      <formula>0.03</formula>
    </cfRule>
    <cfRule type="cellIs" dxfId="1314" priority="116" stopIfTrue="1" operator="lessThan">
      <formula>-0.03</formula>
    </cfRule>
  </conditionalFormatting>
  <conditionalFormatting sqref="I120:I122">
    <cfRule type="cellIs" dxfId="1313" priority="113" operator="greaterThan">
      <formula>0.03</formula>
    </cfRule>
    <cfRule type="cellIs" dxfId="1312" priority="114" stopIfTrue="1" operator="lessThan">
      <formula>-0.03</formula>
    </cfRule>
  </conditionalFormatting>
  <conditionalFormatting sqref="I120:I122">
    <cfRule type="cellIs" dxfId="1311" priority="111" operator="greaterThan">
      <formula>0.03</formula>
    </cfRule>
    <cfRule type="cellIs" dxfId="1310" priority="112" stopIfTrue="1" operator="lessThan">
      <formula>-0.03</formula>
    </cfRule>
  </conditionalFormatting>
  <conditionalFormatting sqref="I112:I114">
    <cfRule type="cellIs" dxfId="1309" priority="109" operator="greaterThan">
      <formula>0.03</formula>
    </cfRule>
    <cfRule type="cellIs" dxfId="1308" priority="110" stopIfTrue="1" operator="lessThan">
      <formula>-0.03</formula>
    </cfRule>
  </conditionalFormatting>
  <conditionalFormatting sqref="I112:I114">
    <cfRule type="cellIs" dxfId="1307" priority="107" operator="greaterThan">
      <formula>0.03</formula>
    </cfRule>
    <cfRule type="cellIs" dxfId="1306" priority="108" stopIfTrue="1" operator="lessThan">
      <formula>-0.03</formula>
    </cfRule>
  </conditionalFormatting>
  <conditionalFormatting sqref="I119">
    <cfRule type="cellIs" dxfId="1305" priority="89" operator="greaterThan">
      <formula>0.03</formula>
    </cfRule>
    <cfRule type="cellIs" dxfId="1304" priority="90" stopIfTrue="1" operator="lessThan">
      <formula>-0.03</formula>
    </cfRule>
  </conditionalFormatting>
  <conditionalFormatting sqref="I119">
    <cfRule type="cellIs" dxfId="1303" priority="87" operator="greaterThan">
      <formula>0.03</formula>
    </cfRule>
    <cfRule type="cellIs" dxfId="1302" priority="88" stopIfTrue="1" operator="lessThan">
      <formula>-0.03</formula>
    </cfRule>
  </conditionalFormatting>
  <conditionalFormatting sqref="I119">
    <cfRule type="cellIs" dxfId="1301" priority="85" operator="greaterThan">
      <formula>0.03</formula>
    </cfRule>
    <cfRule type="cellIs" dxfId="1300" priority="86" stopIfTrue="1" operator="lessThan">
      <formula>-0.03</formula>
    </cfRule>
  </conditionalFormatting>
  <conditionalFormatting sqref="I119">
    <cfRule type="cellIs" dxfId="1299" priority="83" operator="greaterThan">
      <formula>0.03</formula>
    </cfRule>
    <cfRule type="cellIs" dxfId="1298" priority="84" stopIfTrue="1" operator="lessThan">
      <formula>-0.03</formula>
    </cfRule>
  </conditionalFormatting>
  <conditionalFormatting sqref="I119">
    <cfRule type="cellIs" dxfId="1297" priority="81" operator="greaterThan">
      <formula>0.03</formula>
    </cfRule>
    <cfRule type="cellIs" dxfId="1296" priority="82" stopIfTrue="1" operator="lessThan">
      <formula>-0.03</formula>
    </cfRule>
  </conditionalFormatting>
  <conditionalFormatting sqref="I112:I114">
    <cfRule type="cellIs" dxfId="1295" priority="105" operator="greaterThan">
      <formula>0.03</formula>
    </cfRule>
    <cfRule type="cellIs" dxfId="1294" priority="106" stopIfTrue="1" operator="lessThan">
      <formula>-0.03</formula>
    </cfRule>
  </conditionalFormatting>
  <conditionalFormatting sqref="I112:I114">
    <cfRule type="cellIs" dxfId="1293" priority="101" operator="greaterThan">
      <formula>0.03</formula>
    </cfRule>
    <cfRule type="cellIs" dxfId="1292" priority="102" stopIfTrue="1" operator="lessThan">
      <formula>-0.03</formula>
    </cfRule>
  </conditionalFormatting>
  <conditionalFormatting sqref="I112:I114">
    <cfRule type="cellIs" dxfId="1291" priority="103" operator="greaterThan">
      <formula>0.03</formula>
    </cfRule>
    <cfRule type="cellIs" dxfId="1290" priority="104" stopIfTrue="1" operator="lessThan">
      <formula>-0.03</formula>
    </cfRule>
  </conditionalFormatting>
  <conditionalFormatting sqref="I111">
    <cfRule type="cellIs" dxfId="1289" priority="99" operator="greaterThan">
      <formula>0.03</formula>
    </cfRule>
    <cfRule type="cellIs" dxfId="1288" priority="100" stopIfTrue="1" operator="lessThan">
      <formula>-0.03</formula>
    </cfRule>
  </conditionalFormatting>
  <conditionalFormatting sqref="I111">
    <cfRule type="cellIs" dxfId="1287" priority="97" operator="greaterThan">
      <formula>0.03</formula>
    </cfRule>
    <cfRule type="cellIs" dxfId="1286" priority="98" stopIfTrue="1" operator="lessThan">
      <formula>-0.03</formula>
    </cfRule>
  </conditionalFormatting>
  <conditionalFormatting sqref="I111">
    <cfRule type="cellIs" dxfId="1285" priority="95" operator="greaterThan">
      <formula>0.03</formula>
    </cfRule>
    <cfRule type="cellIs" dxfId="1284" priority="96" stopIfTrue="1" operator="lessThan">
      <formula>-0.03</formula>
    </cfRule>
  </conditionalFormatting>
  <conditionalFormatting sqref="I111">
    <cfRule type="cellIs" dxfId="1283" priority="93" operator="greaterThan">
      <formula>0.03</formula>
    </cfRule>
    <cfRule type="cellIs" dxfId="1282" priority="94" stopIfTrue="1" operator="lessThan">
      <formula>-0.03</formula>
    </cfRule>
  </conditionalFormatting>
  <conditionalFormatting sqref="I111">
    <cfRule type="cellIs" dxfId="1281" priority="91" operator="greaterThan">
      <formula>0.03</formula>
    </cfRule>
    <cfRule type="cellIs" dxfId="1280" priority="92" stopIfTrue="1" operator="lessThan">
      <formula>-0.03</formula>
    </cfRule>
  </conditionalFormatting>
  <conditionalFormatting sqref="I108:I110">
    <cfRule type="cellIs" dxfId="1279" priority="79" operator="greaterThan">
      <formula>0.03</formula>
    </cfRule>
    <cfRule type="cellIs" dxfId="1278" priority="80" stopIfTrue="1" operator="lessThan">
      <formula>-0.03</formula>
    </cfRule>
  </conditionalFormatting>
  <conditionalFormatting sqref="I108:I110">
    <cfRule type="cellIs" dxfId="1277" priority="77" operator="greaterThan">
      <formula>0.03</formula>
    </cfRule>
    <cfRule type="cellIs" dxfId="1276" priority="78" stopIfTrue="1" operator="lessThan">
      <formula>-0.03</formula>
    </cfRule>
  </conditionalFormatting>
  <conditionalFormatting sqref="I108:I110">
    <cfRule type="cellIs" dxfId="1275" priority="75" operator="greaterThan">
      <formula>0.03</formula>
    </cfRule>
    <cfRule type="cellIs" dxfId="1274" priority="76" stopIfTrue="1" operator="lessThan">
      <formula>-0.03</formula>
    </cfRule>
  </conditionalFormatting>
  <conditionalFormatting sqref="I108:I110">
    <cfRule type="cellIs" dxfId="1273" priority="73" operator="greaterThan">
      <formula>0.03</formula>
    </cfRule>
    <cfRule type="cellIs" dxfId="1272" priority="74" stopIfTrue="1" operator="lessThan">
      <formula>-0.03</formula>
    </cfRule>
  </conditionalFormatting>
  <conditionalFormatting sqref="I108:I110">
    <cfRule type="cellIs" dxfId="1271" priority="71" operator="greaterThan">
      <formula>0.03</formula>
    </cfRule>
    <cfRule type="cellIs" dxfId="1270" priority="72" stopIfTrue="1" operator="lessThan">
      <formula>-0.03</formula>
    </cfRule>
  </conditionalFormatting>
  <conditionalFormatting sqref="I104:I106">
    <cfRule type="cellIs" dxfId="1269" priority="69" operator="greaterThan">
      <formula>0.03</formula>
    </cfRule>
    <cfRule type="cellIs" dxfId="1268" priority="70" stopIfTrue="1" operator="lessThan">
      <formula>-0.03</formula>
    </cfRule>
  </conditionalFormatting>
  <conditionalFormatting sqref="I104:I106">
    <cfRule type="cellIs" dxfId="1267" priority="67" operator="greaterThan">
      <formula>0.03</formula>
    </cfRule>
    <cfRule type="cellIs" dxfId="1266" priority="68" stopIfTrue="1" operator="lessThan">
      <formula>-0.03</formula>
    </cfRule>
  </conditionalFormatting>
  <conditionalFormatting sqref="I107">
    <cfRule type="cellIs" dxfId="1265" priority="49" operator="greaterThan">
      <formula>0.03</formula>
    </cfRule>
    <cfRule type="cellIs" dxfId="1264" priority="50" stopIfTrue="1" operator="lessThan">
      <formula>-0.03</formula>
    </cfRule>
  </conditionalFormatting>
  <conditionalFormatting sqref="I107">
    <cfRule type="cellIs" dxfId="1263" priority="47" operator="greaterThan">
      <formula>0.03</formula>
    </cfRule>
    <cfRule type="cellIs" dxfId="1262" priority="48" stopIfTrue="1" operator="lessThan">
      <formula>-0.03</formula>
    </cfRule>
  </conditionalFormatting>
  <conditionalFormatting sqref="I107">
    <cfRule type="cellIs" dxfId="1261" priority="45" operator="greaterThan">
      <formula>0.03</formula>
    </cfRule>
    <cfRule type="cellIs" dxfId="1260" priority="46" stopIfTrue="1" operator="lessThan">
      <formula>-0.03</formula>
    </cfRule>
  </conditionalFormatting>
  <conditionalFormatting sqref="I107">
    <cfRule type="cellIs" dxfId="1259" priority="43" operator="greaterThan">
      <formula>0.03</formula>
    </cfRule>
    <cfRule type="cellIs" dxfId="1258" priority="44" stopIfTrue="1" operator="lessThan">
      <formula>-0.03</formula>
    </cfRule>
  </conditionalFormatting>
  <conditionalFormatting sqref="I107">
    <cfRule type="cellIs" dxfId="1257" priority="41" operator="greaterThan">
      <formula>0.03</formula>
    </cfRule>
    <cfRule type="cellIs" dxfId="1256" priority="42" stopIfTrue="1" operator="lessThan">
      <formula>-0.03</formula>
    </cfRule>
  </conditionalFormatting>
  <conditionalFormatting sqref="I104:I106">
    <cfRule type="cellIs" dxfId="1255" priority="65" operator="greaterThan">
      <formula>0.03</formula>
    </cfRule>
    <cfRule type="cellIs" dxfId="1254" priority="66" stopIfTrue="1" operator="lessThan">
      <formula>-0.03</formula>
    </cfRule>
  </conditionalFormatting>
  <conditionalFormatting sqref="I104:I106">
    <cfRule type="cellIs" dxfId="1253" priority="61" operator="greaterThan">
      <formula>0.03</formula>
    </cfRule>
    <cfRule type="cellIs" dxfId="1252" priority="62" stopIfTrue="1" operator="lessThan">
      <formula>-0.03</formula>
    </cfRule>
  </conditionalFormatting>
  <conditionalFormatting sqref="I104:I106">
    <cfRule type="cellIs" dxfId="1251" priority="63" operator="greaterThan">
      <formula>0.03</formula>
    </cfRule>
    <cfRule type="cellIs" dxfId="1250" priority="64" stopIfTrue="1" operator="lessThan">
      <formula>-0.03</formula>
    </cfRule>
  </conditionalFormatting>
  <conditionalFormatting sqref="I103">
    <cfRule type="cellIs" dxfId="1249" priority="59" operator="greaterThan">
      <formula>0.03</formula>
    </cfRule>
    <cfRule type="cellIs" dxfId="1248" priority="60" stopIfTrue="1" operator="lessThan">
      <formula>-0.03</formula>
    </cfRule>
  </conditionalFormatting>
  <conditionalFormatting sqref="I103">
    <cfRule type="cellIs" dxfId="1247" priority="57" operator="greaterThan">
      <formula>0.03</formula>
    </cfRule>
    <cfRule type="cellIs" dxfId="1246" priority="58" stopIfTrue="1" operator="lessThan">
      <formula>-0.03</formula>
    </cfRule>
  </conditionalFormatting>
  <conditionalFormatting sqref="I103">
    <cfRule type="cellIs" dxfId="1245" priority="55" operator="greaterThan">
      <formula>0.03</formula>
    </cfRule>
    <cfRule type="cellIs" dxfId="1244" priority="56" stopIfTrue="1" operator="lessThan">
      <formula>-0.03</formula>
    </cfRule>
  </conditionalFormatting>
  <conditionalFormatting sqref="I103">
    <cfRule type="cellIs" dxfId="1243" priority="53" operator="greaterThan">
      <formula>0.03</formula>
    </cfRule>
    <cfRule type="cellIs" dxfId="1242" priority="54" stopIfTrue="1" operator="lessThan">
      <formula>-0.03</formula>
    </cfRule>
  </conditionalFormatting>
  <conditionalFormatting sqref="I103">
    <cfRule type="cellIs" dxfId="1241" priority="51" operator="greaterThan">
      <formula>0.03</formula>
    </cfRule>
    <cfRule type="cellIs" dxfId="1240" priority="52" stopIfTrue="1" operator="lessThan">
      <formula>-0.03</formula>
    </cfRule>
  </conditionalFormatting>
  <conditionalFormatting sqref="I116:I118">
    <cfRule type="cellIs" dxfId="1239" priority="39" operator="greaterThan">
      <formula>0.03</formula>
    </cfRule>
    <cfRule type="cellIs" dxfId="1238" priority="40" stopIfTrue="1" operator="lessThan">
      <formula>-0.03</formula>
    </cfRule>
  </conditionalFormatting>
  <conditionalFormatting sqref="I116:I118">
    <cfRule type="cellIs" dxfId="1237" priority="37" operator="greaterThan">
      <formula>0.03</formula>
    </cfRule>
    <cfRule type="cellIs" dxfId="1236" priority="38" stopIfTrue="1" operator="lessThan">
      <formula>-0.03</formula>
    </cfRule>
  </conditionalFormatting>
  <conditionalFormatting sqref="I116:I118">
    <cfRule type="cellIs" dxfId="1235" priority="35" operator="greaterThan">
      <formula>0.03</formula>
    </cfRule>
    <cfRule type="cellIs" dxfId="1234" priority="36" stopIfTrue="1" operator="lessThan">
      <formula>-0.03</formula>
    </cfRule>
  </conditionalFormatting>
  <conditionalFormatting sqref="I116:I118">
    <cfRule type="cellIs" dxfId="1233" priority="33" operator="greaterThan">
      <formula>0.03</formula>
    </cfRule>
    <cfRule type="cellIs" dxfId="1232" priority="34" stopIfTrue="1" operator="lessThan">
      <formula>-0.03</formula>
    </cfRule>
  </conditionalFormatting>
  <conditionalFormatting sqref="I116:I118">
    <cfRule type="cellIs" dxfId="1231" priority="31" operator="greaterThan">
      <formula>0.03</formula>
    </cfRule>
    <cfRule type="cellIs" dxfId="1230" priority="32" stopIfTrue="1" operator="lessThan">
      <formula>-0.03</formula>
    </cfRule>
  </conditionalFormatting>
  <conditionalFormatting sqref="I115">
    <cfRule type="cellIs" dxfId="1229" priority="29" operator="greaterThan">
      <formula>0.03</formula>
    </cfRule>
    <cfRule type="cellIs" dxfId="1228" priority="30" stopIfTrue="1" operator="lessThan">
      <formula>-0.03</formula>
    </cfRule>
  </conditionalFormatting>
  <conditionalFormatting sqref="I115">
    <cfRule type="cellIs" dxfId="1227" priority="27" operator="greaterThan">
      <formula>0.03</formula>
    </cfRule>
    <cfRule type="cellIs" dxfId="1226" priority="28" stopIfTrue="1" operator="lessThan">
      <formula>-0.03</formula>
    </cfRule>
  </conditionalFormatting>
  <conditionalFormatting sqref="I115">
    <cfRule type="cellIs" dxfId="1225" priority="25" operator="greaterThan">
      <formula>0.03</formula>
    </cfRule>
    <cfRule type="cellIs" dxfId="1224" priority="26" stopIfTrue="1" operator="lessThan">
      <formula>-0.03</formula>
    </cfRule>
  </conditionalFormatting>
  <conditionalFormatting sqref="I115">
    <cfRule type="cellIs" dxfId="1223" priority="23" operator="greaterThan">
      <formula>0.03</formula>
    </cfRule>
    <cfRule type="cellIs" dxfId="1222" priority="24" stopIfTrue="1" operator="lessThan">
      <formula>-0.03</formula>
    </cfRule>
  </conditionalFormatting>
  <conditionalFormatting sqref="I115">
    <cfRule type="cellIs" dxfId="1221" priority="21" operator="greaterThan">
      <formula>0.03</formula>
    </cfRule>
    <cfRule type="cellIs" dxfId="1220" priority="22" stopIfTrue="1" operator="lessThan">
      <formula>-0.03</formula>
    </cfRule>
  </conditionalFormatting>
  <conditionalFormatting sqref="I123">
    <cfRule type="cellIs" dxfId="1219" priority="15" operator="greaterThan">
      <formula>0.03</formula>
    </cfRule>
    <cfRule type="cellIs" dxfId="1218" priority="16" stopIfTrue="1" operator="lessThan">
      <formula>-0.03</formula>
    </cfRule>
  </conditionalFormatting>
  <conditionalFormatting sqref="I123">
    <cfRule type="cellIs" dxfId="1217" priority="13" operator="greaterThan">
      <formula>0.03</formula>
    </cfRule>
    <cfRule type="cellIs" dxfId="1216" priority="14" stopIfTrue="1" operator="lessThan">
      <formula>-0.03</formula>
    </cfRule>
  </conditionalFormatting>
  <conditionalFormatting sqref="I123">
    <cfRule type="cellIs" dxfId="1215" priority="11" operator="greaterThan">
      <formula>0.03</formula>
    </cfRule>
    <cfRule type="cellIs" dxfId="1214" priority="12" stopIfTrue="1" operator="lessThan">
      <formula>-0.03</formula>
    </cfRule>
  </conditionalFormatting>
  <conditionalFormatting sqref="I123">
    <cfRule type="cellIs" dxfId="1213" priority="19" operator="greaterThan">
      <formula>0.03</formula>
    </cfRule>
    <cfRule type="cellIs" dxfId="1212" priority="20" stopIfTrue="1" operator="lessThan">
      <formula>-0.03</formula>
    </cfRule>
  </conditionalFormatting>
  <conditionalFormatting sqref="I123">
    <cfRule type="cellIs" dxfId="1211" priority="17" operator="greaterThan">
      <formula>0.03</formula>
    </cfRule>
    <cfRule type="cellIs" dxfId="1210" priority="18" stopIfTrue="1" operator="lessThan">
      <formula>-0.03</formula>
    </cfRule>
  </conditionalFormatting>
  <conditionalFormatting sqref="I125">
    <cfRule type="cellIs" dxfId="1209" priority="9" operator="greaterThan">
      <formula>0.03</formula>
    </cfRule>
    <cfRule type="cellIs" dxfId="1208" priority="10" stopIfTrue="1" operator="lessThan">
      <formula>-0.03</formula>
    </cfRule>
  </conditionalFormatting>
  <conditionalFormatting sqref="I125">
    <cfRule type="cellIs" dxfId="1207" priority="7" operator="greaterThan">
      <formula>0.03</formula>
    </cfRule>
    <cfRule type="cellIs" dxfId="1206" priority="8" stopIfTrue="1" operator="lessThan">
      <formula>-0.03</formula>
    </cfRule>
  </conditionalFormatting>
  <conditionalFormatting sqref="I125">
    <cfRule type="cellIs" dxfId="1205" priority="5" operator="greaterThan">
      <formula>0.03</formula>
    </cfRule>
    <cfRule type="cellIs" dxfId="1204" priority="6" stopIfTrue="1" operator="lessThan">
      <formula>-0.03</formula>
    </cfRule>
  </conditionalFormatting>
  <conditionalFormatting sqref="I125">
    <cfRule type="cellIs" dxfId="1203" priority="3" operator="greaterThan">
      <formula>0.03</formula>
    </cfRule>
    <cfRule type="cellIs" dxfId="1202" priority="4" stopIfTrue="1" operator="lessThan">
      <formula>-0.03</formula>
    </cfRule>
  </conditionalFormatting>
  <conditionalFormatting sqref="I125">
    <cfRule type="cellIs" dxfId="1201" priority="1" operator="greaterThan">
      <formula>0.03</formula>
    </cfRule>
    <cfRule type="cellIs" dxfId="1200" priority="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99BD4-98ED-4FC9-8D6F-E3845E5783C0}">
  <dimension ref="A1:I128"/>
  <sheetViews>
    <sheetView topLeftCell="A91" zoomScale="85" zoomScaleNormal="85" workbookViewId="0">
      <selection activeCell="B125" sqref="B125:I128"/>
    </sheetView>
  </sheetViews>
  <sheetFormatPr defaultColWidth="8.875" defaultRowHeight="14.25"/>
  <cols>
    <col min="2" max="2" width="25.375" bestFit="1" customWidth="1"/>
    <col min="3" max="3" width="5.875" bestFit="1" customWidth="1"/>
    <col min="6" max="6" width="3.625" bestFit="1" customWidth="1"/>
  </cols>
  <sheetData>
    <row r="1" spans="1:9" ht="15" thickBot="1">
      <c r="A1" s="1"/>
      <c r="B1" s="1"/>
      <c r="C1" s="1"/>
      <c r="D1" s="28" t="s">
        <v>25</v>
      </c>
      <c r="E1" s="29"/>
      <c r="F1" s="1"/>
      <c r="G1" s="28" t="s">
        <v>26</v>
      </c>
      <c r="H1" s="29"/>
      <c r="I1" s="25"/>
    </row>
    <row r="2" spans="1:9" ht="15" thickBot="1">
      <c r="A2" s="2"/>
      <c r="B2" s="3"/>
      <c r="C2" s="22" t="s">
        <v>24</v>
      </c>
      <c r="D2" s="13" t="s">
        <v>0</v>
      </c>
      <c r="E2" s="5" t="s">
        <v>1</v>
      </c>
      <c r="F2" s="22" t="s">
        <v>24</v>
      </c>
      <c r="G2" s="13" t="s">
        <v>0</v>
      </c>
      <c r="H2" s="5" t="s">
        <v>1</v>
      </c>
      <c r="I2" s="13" t="s">
        <v>3</v>
      </c>
    </row>
    <row r="3" spans="1:9">
      <c r="A3" s="20" t="s">
        <v>4</v>
      </c>
      <c r="B3" s="30" t="s">
        <v>40</v>
      </c>
      <c r="C3" s="6">
        <v>27</v>
      </c>
      <c r="D3" s="24">
        <v>1.4555844907407399E-2</v>
      </c>
      <c r="E3" s="24">
        <v>38.838264465332003</v>
      </c>
      <c r="F3" s="6">
        <v>27</v>
      </c>
      <c r="G3" s="24">
        <v>1.3432194999999999E-2</v>
      </c>
      <c r="H3" s="24">
        <v>39.193954470000001</v>
      </c>
      <c r="I3" s="7">
        <f>bdrate($D3:$D6,E3:E6,$G3:$G6,H3:H6)</f>
        <v>-0.46024122650407018</v>
      </c>
    </row>
    <row r="4" spans="1:9">
      <c r="A4" s="14" t="s">
        <v>5</v>
      </c>
      <c r="B4" s="31"/>
      <c r="C4" s="8">
        <v>32</v>
      </c>
      <c r="D4" s="24">
        <v>9.5942644032921808E-3</v>
      </c>
      <c r="E4" s="24">
        <v>38.599372863769503</v>
      </c>
      <c r="F4" s="8">
        <v>32</v>
      </c>
      <c r="G4" s="24">
        <v>8.5677080000000003E-3</v>
      </c>
      <c r="H4" s="24">
        <v>38.997509000000001</v>
      </c>
      <c r="I4" s="9"/>
    </row>
    <row r="5" spans="1:9">
      <c r="A5" s="8"/>
      <c r="B5" s="31"/>
      <c r="C5" s="8">
        <v>38</v>
      </c>
      <c r="D5" s="24">
        <v>6.7980002572016404E-3</v>
      </c>
      <c r="E5" s="24">
        <v>38.334957122802699</v>
      </c>
      <c r="F5" s="8">
        <v>38</v>
      </c>
      <c r="G5" s="24">
        <v>6.1715529999999998E-3</v>
      </c>
      <c r="H5" s="24">
        <v>38.787578580000002</v>
      </c>
      <c r="I5" s="9"/>
    </row>
    <row r="6" spans="1:9" ht="15" thickBot="1">
      <c r="A6" s="8"/>
      <c r="B6" s="32"/>
      <c r="C6" s="10">
        <v>45</v>
      </c>
      <c r="D6" s="24">
        <v>5.0355259773662503E-3</v>
      </c>
      <c r="E6" s="24">
        <v>37.820079803466797</v>
      </c>
      <c r="F6" s="10">
        <v>45</v>
      </c>
      <c r="G6" s="24">
        <v>4.6797840000000002E-3</v>
      </c>
      <c r="H6" s="24">
        <v>38.38102722</v>
      </c>
      <c r="I6" s="2"/>
    </row>
    <row r="7" spans="1:9">
      <c r="A7" s="8"/>
      <c r="B7" s="30" t="s">
        <v>41</v>
      </c>
      <c r="C7" s="6">
        <v>27</v>
      </c>
      <c r="D7" s="24">
        <v>5.7805909207818897E-2</v>
      </c>
      <c r="E7" s="24">
        <v>42.795467376708899</v>
      </c>
      <c r="F7" s="6">
        <v>27</v>
      </c>
      <c r="G7" s="24">
        <v>5.7805909000000003E-2</v>
      </c>
      <c r="H7" s="24">
        <v>42.795467379999998</v>
      </c>
      <c r="I7" s="7">
        <f>bdrate($D7:$D10,E7:E10,$G7:$G10,H7:H10)</f>
        <v>6.1336651313581569E-9</v>
      </c>
    </row>
    <row r="8" spans="1:9">
      <c r="A8" s="8"/>
      <c r="B8" s="31"/>
      <c r="C8" s="8">
        <v>32</v>
      </c>
      <c r="D8" s="24">
        <v>4.3590213477366198E-2</v>
      </c>
      <c r="E8" s="24">
        <v>41.887130737304602</v>
      </c>
      <c r="F8" s="8">
        <v>32</v>
      </c>
      <c r="G8" s="24">
        <v>4.3590213000000003E-2</v>
      </c>
      <c r="H8" s="24">
        <v>41.887130740000003</v>
      </c>
      <c r="I8" s="9"/>
    </row>
    <row r="9" spans="1:9">
      <c r="A9" s="8"/>
      <c r="B9" s="31"/>
      <c r="C9" s="8">
        <v>38</v>
      </c>
      <c r="D9" s="24">
        <v>3.3559831532921802E-2</v>
      </c>
      <c r="E9" s="24">
        <v>40.864055633544901</v>
      </c>
      <c r="F9" s="8">
        <v>38</v>
      </c>
      <c r="G9" s="24">
        <v>3.3559831999999998E-2</v>
      </c>
      <c r="H9" s="24">
        <v>40.864055630000003</v>
      </c>
      <c r="I9" s="9"/>
    </row>
    <row r="10" spans="1:9" ht="15" thickBot="1">
      <c r="A10" s="8"/>
      <c r="B10" s="32"/>
      <c r="C10" s="10">
        <v>45</v>
      </c>
      <c r="D10" s="24">
        <v>2.4202192644032901E-2</v>
      </c>
      <c r="E10" s="24">
        <v>39.258758544921797</v>
      </c>
      <c r="F10" s="10">
        <v>45</v>
      </c>
      <c r="G10" s="24">
        <v>2.4202193E-2</v>
      </c>
      <c r="H10" s="24">
        <v>39.258758540000002</v>
      </c>
      <c r="I10" s="9"/>
    </row>
    <row r="11" spans="1:9">
      <c r="A11" s="14"/>
      <c r="B11" s="30" t="s">
        <v>42</v>
      </c>
      <c r="C11" s="6">
        <v>27</v>
      </c>
      <c r="D11" s="24">
        <v>3.1047614454732499E-2</v>
      </c>
      <c r="E11" s="24">
        <v>39.641876220703097</v>
      </c>
      <c r="F11" s="6">
        <v>27</v>
      </c>
      <c r="G11" s="24">
        <v>3.0139050000000001E-2</v>
      </c>
      <c r="H11" s="24">
        <v>40.655799870000003</v>
      </c>
      <c r="I11" s="7">
        <f>bdrate($D11:$D14,E11:E14,$G11:$G14,H11:H14)</f>
        <v>-0.34435977205489654</v>
      </c>
    </row>
    <row r="12" spans="1:9">
      <c r="A12" s="14"/>
      <c r="B12" s="31"/>
      <c r="C12" s="8">
        <v>32</v>
      </c>
      <c r="D12" s="24">
        <v>2.24662422839506E-2</v>
      </c>
      <c r="E12" s="24">
        <v>38.940731048583899</v>
      </c>
      <c r="F12" s="8">
        <v>32</v>
      </c>
      <c r="G12" s="24">
        <v>2.2099087E-2</v>
      </c>
      <c r="H12" s="24">
        <v>40.119056700000002</v>
      </c>
      <c r="I12" s="9"/>
    </row>
    <row r="13" spans="1:9">
      <c r="A13" s="8"/>
      <c r="B13" s="31"/>
      <c r="C13" s="8">
        <v>38</v>
      </c>
      <c r="D13" s="24">
        <v>1.67246977880658E-2</v>
      </c>
      <c r="E13" s="24">
        <v>38.107261657714801</v>
      </c>
      <c r="F13" s="8">
        <v>38</v>
      </c>
      <c r="G13" s="24">
        <v>1.6674221999999999E-2</v>
      </c>
      <c r="H13" s="24">
        <v>39.386680599999998</v>
      </c>
      <c r="I13" s="9"/>
    </row>
    <row r="14" spans="1:9" ht="15" thickBot="1">
      <c r="A14" s="8"/>
      <c r="B14" s="32"/>
      <c r="C14" s="10">
        <v>45</v>
      </c>
      <c r="D14" s="24">
        <v>1.17605452674897E-2</v>
      </c>
      <c r="E14" s="24">
        <v>36.515743255615199</v>
      </c>
      <c r="F14" s="10">
        <v>45</v>
      </c>
      <c r="G14" s="24">
        <v>1.2001029E-2</v>
      </c>
      <c r="H14" s="24">
        <v>38.071166990000002</v>
      </c>
      <c r="I14" s="2"/>
    </row>
    <row r="15" spans="1:9">
      <c r="A15" s="8"/>
      <c r="B15" s="30" t="s">
        <v>43</v>
      </c>
      <c r="C15" s="6">
        <v>27</v>
      </c>
      <c r="D15" s="24">
        <v>0.52698495370370302</v>
      </c>
      <c r="E15" s="24">
        <v>37.105239868163999</v>
      </c>
      <c r="F15" s="6">
        <v>27</v>
      </c>
      <c r="G15" s="24">
        <v>0.52698495400000001</v>
      </c>
      <c r="H15" s="24">
        <v>37.105239869999998</v>
      </c>
      <c r="I15" s="7">
        <f>bdrate($D15:$D18,E15:E18,$G15:$G18,H15:H18)</f>
        <v>-4.647195961382522E-10</v>
      </c>
    </row>
    <row r="16" spans="1:9">
      <c r="A16" s="8"/>
      <c r="B16" s="31"/>
      <c r="C16" s="8">
        <v>32</v>
      </c>
      <c r="D16" s="24">
        <v>0.41040107381687202</v>
      </c>
      <c r="E16" s="24">
        <v>36.0140380859375</v>
      </c>
      <c r="F16" s="8">
        <v>32</v>
      </c>
      <c r="G16" s="24">
        <v>0.41040107399999998</v>
      </c>
      <c r="H16" s="24">
        <v>36.01403809</v>
      </c>
      <c r="I16" s="9"/>
    </row>
    <row r="17" spans="1:9">
      <c r="A17" s="8"/>
      <c r="B17" s="31"/>
      <c r="C17" s="8">
        <v>38</v>
      </c>
      <c r="D17" s="24">
        <v>0.30743023405349701</v>
      </c>
      <c r="E17" s="24">
        <v>34.716564178466797</v>
      </c>
      <c r="F17" s="8">
        <v>38</v>
      </c>
      <c r="G17" s="24">
        <v>0.30743023400000002</v>
      </c>
      <c r="H17" s="24">
        <v>34.716564179999999</v>
      </c>
      <c r="I17" s="9"/>
    </row>
    <row r="18" spans="1:9" ht="15" thickBot="1">
      <c r="A18" s="8"/>
      <c r="B18" s="32"/>
      <c r="C18" s="10">
        <v>45</v>
      </c>
      <c r="D18" s="24">
        <v>0.199766750257201</v>
      </c>
      <c r="E18" s="24">
        <v>32.890213012695298</v>
      </c>
      <c r="F18" s="10">
        <v>45</v>
      </c>
      <c r="G18" s="24">
        <v>0.19976674999999999</v>
      </c>
      <c r="H18" s="24">
        <v>32.890213009999997</v>
      </c>
      <c r="I18" s="9"/>
    </row>
    <row r="19" spans="1:9">
      <c r="A19" s="8"/>
      <c r="B19" s="30" t="s">
        <v>44</v>
      </c>
      <c r="C19" s="6">
        <v>27</v>
      </c>
      <c r="D19" s="24">
        <v>0.17752250514403201</v>
      </c>
      <c r="E19" s="24">
        <v>35.818561553955</v>
      </c>
      <c r="F19" s="6">
        <v>27</v>
      </c>
      <c r="G19" s="24">
        <v>0.18774048400000001</v>
      </c>
      <c r="H19" s="24">
        <v>35.817062380000003</v>
      </c>
      <c r="I19" s="7">
        <f>bdrate($D19:$D22,E19:E22,$G19:$G22,H19:H22)</f>
        <v>6.5245971781120904E-2</v>
      </c>
    </row>
    <row r="20" spans="1:9">
      <c r="A20" s="8"/>
      <c r="B20" s="31"/>
      <c r="C20" s="8">
        <v>32</v>
      </c>
      <c r="D20" s="24">
        <v>0.123953832304526</v>
      </c>
      <c r="E20" s="24">
        <v>35.2699584960937</v>
      </c>
      <c r="F20" s="8">
        <v>32</v>
      </c>
      <c r="G20" s="24">
        <v>0.13166023700000001</v>
      </c>
      <c r="H20" s="24">
        <v>35.270698549999999</v>
      </c>
      <c r="I20" s="9"/>
    </row>
    <row r="21" spans="1:9">
      <c r="A21" s="8"/>
      <c r="B21" s="31"/>
      <c r="C21" s="8">
        <v>38</v>
      </c>
      <c r="D21" s="24">
        <v>8.8026941872427905E-2</v>
      </c>
      <c r="E21" s="24">
        <v>34.617118835449197</v>
      </c>
      <c r="F21" s="8">
        <v>38</v>
      </c>
      <c r="G21" s="24">
        <v>9.3880369000000005E-2</v>
      </c>
      <c r="H21" s="24">
        <v>34.618312840000002</v>
      </c>
      <c r="I21" s="9"/>
    </row>
    <row r="22" spans="1:9" ht="15" thickBot="1">
      <c r="A22" s="8"/>
      <c r="B22" s="32"/>
      <c r="C22" s="10">
        <v>45</v>
      </c>
      <c r="D22" s="24">
        <v>5.6493698559670701E-2</v>
      </c>
      <c r="E22" s="24">
        <v>33.535865783691399</v>
      </c>
      <c r="F22" s="10">
        <v>45</v>
      </c>
      <c r="G22" s="24">
        <v>6.0727398000000002E-2</v>
      </c>
      <c r="H22" s="24">
        <v>33.545619960000003</v>
      </c>
      <c r="I22" s="2"/>
    </row>
    <row r="23" spans="1:9">
      <c r="A23" s="20" t="s">
        <v>6</v>
      </c>
      <c r="B23" s="30" t="s">
        <v>45</v>
      </c>
      <c r="C23" s="6">
        <v>27</v>
      </c>
      <c r="D23" s="24">
        <v>8.0077642746913494E-2</v>
      </c>
      <c r="E23" s="24">
        <v>30.878105163574201</v>
      </c>
      <c r="F23" s="6">
        <v>27</v>
      </c>
      <c r="G23" s="24">
        <v>0.18566165100000001</v>
      </c>
      <c r="H23" s="24">
        <v>31.159749980000001</v>
      </c>
      <c r="I23" s="7">
        <f>bdrate($D23:$D26,E23:E26,$G23:$G26,H23:H26)</f>
        <v>-0.12713216754377388</v>
      </c>
    </row>
    <row r="24" spans="1:9">
      <c r="A24" s="14" t="s">
        <v>7</v>
      </c>
      <c r="B24" s="31"/>
      <c r="C24" s="8">
        <v>32</v>
      </c>
      <c r="D24" s="24">
        <v>4.77723122427983E-2</v>
      </c>
      <c r="E24" s="24">
        <v>30.776983261108398</v>
      </c>
      <c r="F24" s="8">
        <v>32</v>
      </c>
      <c r="G24" s="24">
        <v>5.4970421999999998E-2</v>
      </c>
      <c r="H24" s="24">
        <v>30.81114578</v>
      </c>
      <c r="I24" s="9"/>
    </row>
    <row r="25" spans="1:9">
      <c r="A25" s="8"/>
      <c r="B25" s="31"/>
      <c r="C25" s="8">
        <v>38</v>
      </c>
      <c r="D25" s="24">
        <v>3.3502764917695403E-2</v>
      </c>
      <c r="E25" s="24">
        <v>30.685207366943299</v>
      </c>
      <c r="F25" s="8">
        <v>38</v>
      </c>
      <c r="G25" s="24">
        <v>3.5008197999999997E-2</v>
      </c>
      <c r="H25" s="24">
        <v>30.733701709999998</v>
      </c>
      <c r="I25" s="9"/>
    </row>
    <row r="26" spans="1:9" ht="15" thickBot="1">
      <c r="A26" s="8"/>
      <c r="B26" s="32"/>
      <c r="C26" s="10">
        <v>45</v>
      </c>
      <c r="D26" s="24">
        <v>1.8115033436213901E-2</v>
      </c>
      <c r="E26" s="24">
        <v>30.5111579895019</v>
      </c>
      <c r="F26" s="10">
        <v>45</v>
      </c>
      <c r="G26" s="24">
        <v>1.8761252999999999E-2</v>
      </c>
      <c r="H26" s="24">
        <v>30.631546019999998</v>
      </c>
      <c r="I26" s="2"/>
    </row>
    <row r="27" spans="1:9">
      <c r="A27" s="8"/>
      <c r="B27" s="30" t="s">
        <v>46</v>
      </c>
      <c r="C27" s="6">
        <v>27</v>
      </c>
      <c r="D27" s="24">
        <v>0.15975806970164599</v>
      </c>
      <c r="E27" s="24">
        <v>34.802757263183501</v>
      </c>
      <c r="F27" s="6">
        <v>27</v>
      </c>
      <c r="G27" s="24">
        <v>0.17142152099999999</v>
      </c>
      <c r="H27" s="24">
        <v>34.898895260000003</v>
      </c>
      <c r="I27" s="7">
        <f>bdrate($D27:$D30,E27:E30,$G27:$G30,H27:H30)</f>
        <v>-5.6116508662209963E-2</v>
      </c>
    </row>
    <row r="28" spans="1:9">
      <c r="A28" s="8"/>
      <c r="B28" s="31"/>
      <c r="C28" s="8">
        <v>32</v>
      </c>
      <c r="D28" s="24">
        <v>9.3479938271604904E-2</v>
      </c>
      <c r="E28" s="24">
        <v>34.2859497070312</v>
      </c>
      <c r="F28" s="8">
        <v>32</v>
      </c>
      <c r="G28" s="24">
        <v>9.8895318999999995E-2</v>
      </c>
      <c r="H28" s="24">
        <v>34.396903989999998</v>
      </c>
      <c r="I28" s="9"/>
    </row>
    <row r="29" spans="1:9">
      <c r="A29" s="8"/>
      <c r="B29" s="31"/>
      <c r="C29" s="8">
        <v>38</v>
      </c>
      <c r="D29" s="24">
        <v>5.8932934670781797E-2</v>
      </c>
      <c r="E29" s="24">
        <v>33.775238037109297</v>
      </c>
      <c r="F29" s="8">
        <v>38</v>
      </c>
      <c r="G29" s="24">
        <v>6.2123360000000002E-2</v>
      </c>
      <c r="H29" s="24">
        <v>33.905967709999999</v>
      </c>
      <c r="I29" s="9"/>
    </row>
    <row r="30" spans="1:9" ht="15" thickBot="1">
      <c r="A30" s="8"/>
      <c r="B30" s="32"/>
      <c r="C30" s="10">
        <v>45</v>
      </c>
      <c r="D30" s="24">
        <v>3.2999935699588402E-2</v>
      </c>
      <c r="E30" s="24">
        <v>33.0365600585937</v>
      </c>
      <c r="F30" s="10">
        <v>45</v>
      </c>
      <c r="G30" s="24">
        <v>3.4845517999999999E-2</v>
      </c>
      <c r="H30" s="24">
        <v>33.203079219999999</v>
      </c>
      <c r="I30" s="2"/>
    </row>
    <row r="31" spans="1:9">
      <c r="A31" s="14"/>
      <c r="B31" s="30" t="s">
        <v>47</v>
      </c>
      <c r="C31" s="6">
        <v>27</v>
      </c>
      <c r="D31" s="24">
        <v>4.03620113168724E-2</v>
      </c>
      <c r="E31" s="24">
        <v>36.704124450683501</v>
      </c>
      <c r="F31" s="6">
        <v>27</v>
      </c>
      <c r="G31" s="24">
        <v>4.6733861000000002E-2</v>
      </c>
      <c r="H31" s="24">
        <v>36.807380680000001</v>
      </c>
      <c r="I31" s="7">
        <f>bdrate($D31:$D34,E31:E34,$G31:$G34,H31:H34)</f>
        <v>9.9635025704005953E-2</v>
      </c>
    </row>
    <row r="32" spans="1:9">
      <c r="A32" s="14"/>
      <c r="B32" s="31"/>
      <c r="C32" s="8">
        <v>32</v>
      </c>
      <c r="D32" s="24">
        <v>2.44827031893004E-2</v>
      </c>
      <c r="E32" s="24">
        <v>36.302364349365199</v>
      </c>
      <c r="F32" s="8">
        <v>32</v>
      </c>
      <c r="G32" s="24">
        <v>2.9895833E-2</v>
      </c>
      <c r="H32" s="24">
        <v>36.443931579999997</v>
      </c>
      <c r="I32" s="9"/>
    </row>
    <row r="33" spans="1:9">
      <c r="A33" s="8"/>
      <c r="B33" s="31"/>
      <c r="C33" s="8">
        <v>38</v>
      </c>
      <c r="D33" s="24">
        <v>1.6819540895061699E-2</v>
      </c>
      <c r="E33" s="24">
        <v>35.928104400634702</v>
      </c>
      <c r="F33" s="8">
        <v>38</v>
      </c>
      <c r="G33" s="24">
        <v>2.0869663E-2</v>
      </c>
      <c r="H33" s="24">
        <v>36.054378509999999</v>
      </c>
      <c r="I33" s="9"/>
    </row>
    <row r="34" spans="1:9" ht="15" thickBot="1">
      <c r="A34" s="8"/>
      <c r="B34" s="32"/>
      <c r="C34" s="10">
        <v>45</v>
      </c>
      <c r="D34" s="24">
        <v>1.1445312500000001E-2</v>
      </c>
      <c r="E34" s="24">
        <v>35.261314392089801</v>
      </c>
      <c r="F34" s="10">
        <v>45</v>
      </c>
      <c r="G34" s="24">
        <v>1.4142233000000001E-2</v>
      </c>
      <c r="H34" s="24">
        <v>35.383861539999998</v>
      </c>
      <c r="I34" s="2"/>
    </row>
    <row r="35" spans="1:9">
      <c r="A35" s="8"/>
      <c r="B35" s="30" t="s">
        <v>48</v>
      </c>
      <c r="C35" s="6">
        <v>27</v>
      </c>
      <c r="D35" s="24">
        <v>0.30679253472222201</v>
      </c>
      <c r="E35" s="24">
        <v>34.508682250976499</v>
      </c>
      <c r="F35" s="6">
        <v>27</v>
      </c>
      <c r="G35" s="24">
        <v>0.28396396000000002</v>
      </c>
      <c r="H35" s="24">
        <v>34.764385220000001</v>
      </c>
      <c r="I35" s="7">
        <f>bdrate($D35:$D38,E35:E38,$G35:$G38,H35:H38)</f>
        <v>-0.30347345066323306</v>
      </c>
    </row>
    <row r="36" spans="1:9">
      <c r="A36" s="8"/>
      <c r="B36" s="31"/>
      <c r="C36" s="8">
        <v>32</v>
      </c>
      <c r="D36" s="24">
        <v>0.181917438271604</v>
      </c>
      <c r="E36" s="24">
        <v>33.335872650146399</v>
      </c>
      <c r="F36" s="8">
        <v>32</v>
      </c>
      <c r="G36" s="24">
        <v>0.16350164</v>
      </c>
      <c r="H36" s="24">
        <v>33.82118225</v>
      </c>
      <c r="I36" s="9"/>
    </row>
    <row r="37" spans="1:9">
      <c r="A37" s="8"/>
      <c r="B37" s="31"/>
      <c r="C37" s="8">
        <v>38</v>
      </c>
      <c r="D37" s="24">
        <v>0.114017650462962</v>
      </c>
      <c r="E37" s="24">
        <v>32.082839965820298</v>
      </c>
      <c r="F37" s="8">
        <v>38</v>
      </c>
      <c r="G37" s="24">
        <v>0.10566036500000001</v>
      </c>
      <c r="H37" s="24">
        <v>32.939277650000001</v>
      </c>
      <c r="I37" s="9"/>
    </row>
    <row r="38" spans="1:9" ht="15" thickBot="1">
      <c r="A38" s="8"/>
      <c r="B38" s="32"/>
      <c r="C38" s="10">
        <v>45</v>
      </c>
      <c r="D38" s="24">
        <v>6.5111078960905303E-2</v>
      </c>
      <c r="E38" s="24">
        <v>30.254421234130799</v>
      </c>
      <c r="F38" s="10">
        <v>45</v>
      </c>
      <c r="G38" s="24">
        <v>6.3370306000000001E-2</v>
      </c>
      <c r="H38" s="24">
        <v>31.579702380000001</v>
      </c>
      <c r="I38" s="2"/>
    </row>
    <row r="39" spans="1:9">
      <c r="A39" s="20" t="s">
        <v>8</v>
      </c>
      <c r="B39" s="30" t="s">
        <v>49</v>
      </c>
      <c r="C39" s="6">
        <v>27</v>
      </c>
      <c r="D39" s="24">
        <v>0.282560924639917</v>
      </c>
      <c r="E39" s="24">
        <v>37.550518035888601</v>
      </c>
      <c r="F39" s="6">
        <v>27</v>
      </c>
      <c r="G39" s="24">
        <v>0.28256092500000002</v>
      </c>
      <c r="H39" s="24">
        <v>37.55051804</v>
      </c>
      <c r="I39" s="7">
        <f>bdrate($D39:$D42,E39:E42,$G39:$G42,H39:H42)</f>
        <v>3.2548053141567834E-10</v>
      </c>
    </row>
    <row r="40" spans="1:9">
      <c r="A40" s="14" t="s">
        <v>9</v>
      </c>
      <c r="B40" s="31"/>
      <c r="C40" s="8">
        <v>32</v>
      </c>
      <c r="D40" s="24">
        <v>0.200318287037037</v>
      </c>
      <c r="E40" s="24">
        <v>36.391036987304602</v>
      </c>
      <c r="F40" s="8">
        <v>32</v>
      </c>
      <c r="G40" s="24">
        <v>0.20031828700000001</v>
      </c>
      <c r="H40" s="24">
        <v>36.391036990000003</v>
      </c>
      <c r="I40" s="9"/>
    </row>
    <row r="41" spans="1:9">
      <c r="A41" s="8"/>
      <c r="B41" s="31"/>
      <c r="C41" s="8">
        <v>38</v>
      </c>
      <c r="D41" s="24">
        <v>0.14596273791152201</v>
      </c>
      <c r="E41" s="24">
        <v>35.2298583984375</v>
      </c>
      <c r="F41" s="8">
        <v>38</v>
      </c>
      <c r="G41" s="24">
        <v>0.14596273800000001</v>
      </c>
      <c r="H41" s="24">
        <v>35.229858399999998</v>
      </c>
      <c r="I41" s="9"/>
    </row>
    <row r="42" spans="1:9" ht="15" thickBot="1">
      <c r="A42" s="8"/>
      <c r="B42" s="32"/>
      <c r="C42" s="10">
        <v>45</v>
      </c>
      <c r="D42" s="24">
        <v>9.8880690586419698E-2</v>
      </c>
      <c r="E42" s="24">
        <v>33.592227935791001</v>
      </c>
      <c r="F42" s="10">
        <v>45</v>
      </c>
      <c r="G42" s="24">
        <v>9.8880691000000007E-2</v>
      </c>
      <c r="H42" s="24">
        <v>33.592227940000001</v>
      </c>
      <c r="I42" s="2"/>
    </row>
    <row r="43" spans="1:9">
      <c r="A43" s="8"/>
      <c r="B43" s="30" t="s">
        <v>50</v>
      </c>
      <c r="C43" s="6">
        <v>27</v>
      </c>
      <c r="D43" s="24">
        <v>9.6737879372427907E-2</v>
      </c>
      <c r="E43" s="24">
        <v>41.943450927734297</v>
      </c>
      <c r="F43" s="6">
        <v>27</v>
      </c>
      <c r="G43" s="24">
        <v>0.10666489799999999</v>
      </c>
      <c r="H43" s="24">
        <v>41.89725876</v>
      </c>
      <c r="I43" s="7">
        <f>bdrate($D43:$D46,E43:E46,$G43:$G46,H43:H46)</f>
        <v>0.13592024419278248</v>
      </c>
    </row>
    <row r="44" spans="1:9">
      <c r="A44" s="8"/>
      <c r="B44" s="31"/>
      <c r="C44" s="8">
        <v>32</v>
      </c>
      <c r="D44" s="24">
        <v>6.7613972479423801E-2</v>
      </c>
      <c r="E44" s="24">
        <v>40.696525573730398</v>
      </c>
      <c r="F44" s="8">
        <v>32</v>
      </c>
      <c r="G44" s="24">
        <v>7.5587383999999994E-2</v>
      </c>
      <c r="H44" s="24">
        <v>40.663829800000002</v>
      </c>
      <c r="I44" s="9"/>
    </row>
    <row r="45" spans="1:9">
      <c r="A45" s="8"/>
      <c r="B45" s="31"/>
      <c r="C45" s="8">
        <v>38</v>
      </c>
      <c r="D45" s="24">
        <v>4.8655156893004099E-2</v>
      </c>
      <c r="E45" s="24">
        <v>39.455451965332003</v>
      </c>
      <c r="F45" s="8">
        <v>38</v>
      </c>
      <c r="G45" s="24">
        <v>5.4670299999999998E-2</v>
      </c>
      <c r="H45" s="24">
        <v>39.393047330000002</v>
      </c>
      <c r="I45" s="9"/>
    </row>
    <row r="46" spans="1:9" ht="15" thickBot="1">
      <c r="A46" s="8"/>
      <c r="B46" s="32"/>
      <c r="C46" s="10">
        <v>45</v>
      </c>
      <c r="D46" s="24">
        <v>3.2444058641975297E-2</v>
      </c>
      <c r="E46" s="24">
        <v>37.730312347412102</v>
      </c>
      <c r="F46" s="10">
        <v>45</v>
      </c>
      <c r="G46" s="24">
        <v>3.6653645999999998E-2</v>
      </c>
      <c r="H46" s="24">
        <v>37.646713259999999</v>
      </c>
      <c r="I46" s="2"/>
    </row>
    <row r="47" spans="1:9">
      <c r="A47" s="14"/>
      <c r="B47" s="30" t="s">
        <v>51</v>
      </c>
      <c r="C47" s="6">
        <v>27</v>
      </c>
      <c r="D47" s="24">
        <v>8.2846418467078103E-2</v>
      </c>
      <c r="E47" s="24">
        <v>38.2146606445312</v>
      </c>
      <c r="F47" s="6">
        <v>27</v>
      </c>
      <c r="G47" s="24">
        <v>8.0623392000000002E-2</v>
      </c>
      <c r="H47" s="24">
        <v>39.637985229999998</v>
      </c>
      <c r="I47" s="7">
        <f>bdrate($D47:$D50,E47:E50,$G47:$G50,H47:H50)</f>
        <v>-0.42326201329245239</v>
      </c>
    </row>
    <row r="48" spans="1:9">
      <c r="A48" s="14"/>
      <c r="B48" s="31"/>
      <c r="C48" s="8">
        <v>32</v>
      </c>
      <c r="D48" s="24">
        <v>5.1961644804526697E-2</v>
      </c>
      <c r="E48" s="24">
        <v>36.994274139404297</v>
      </c>
      <c r="F48" s="8">
        <v>32</v>
      </c>
      <c r="G48" s="24">
        <v>5.1072852000000002E-2</v>
      </c>
      <c r="H48" s="24">
        <v>38.537361150000002</v>
      </c>
      <c r="I48" s="9"/>
    </row>
    <row r="49" spans="1:9">
      <c r="A49" s="8"/>
      <c r="B49" s="31"/>
      <c r="C49" s="8">
        <v>38</v>
      </c>
      <c r="D49" s="24">
        <v>3.4068447788065802E-2</v>
      </c>
      <c r="E49" s="24">
        <v>35.792610168457003</v>
      </c>
      <c r="F49" s="8">
        <v>38</v>
      </c>
      <c r="G49" s="24">
        <v>3.3643101000000002E-2</v>
      </c>
      <c r="H49" s="24">
        <v>37.376621249999999</v>
      </c>
      <c r="I49" s="9"/>
    </row>
    <row r="50" spans="1:9" ht="15" thickBot="1">
      <c r="A50" s="8"/>
      <c r="B50" s="32"/>
      <c r="C50" s="10">
        <v>45</v>
      </c>
      <c r="D50" s="24">
        <v>2.0437082047325101E-2</v>
      </c>
      <c r="E50" s="24">
        <v>34.049900054931598</v>
      </c>
      <c r="F50" s="10">
        <v>45</v>
      </c>
      <c r="G50" s="24">
        <v>2.0223926E-2</v>
      </c>
      <c r="H50" s="24">
        <v>35.659515380000002</v>
      </c>
      <c r="I50" s="2"/>
    </row>
    <row r="51" spans="1:9">
      <c r="A51" s="8"/>
      <c r="B51" s="30" t="s">
        <v>52</v>
      </c>
      <c r="C51" s="6">
        <v>27</v>
      </c>
      <c r="D51" s="24">
        <v>0.206646572788065</v>
      </c>
      <c r="E51" s="24">
        <v>34.882850646972599</v>
      </c>
      <c r="F51" s="6">
        <v>27</v>
      </c>
      <c r="G51" s="24">
        <v>0.211657022</v>
      </c>
      <c r="H51" s="24">
        <v>35.756515499999999</v>
      </c>
      <c r="I51" s="7">
        <f>bdrate($D51:$D54,E51:E54,$G51:$G54,H51:H54)</f>
        <v>-0.53764898065369204</v>
      </c>
    </row>
    <row r="52" spans="1:9">
      <c r="A52" s="8"/>
      <c r="B52" s="31"/>
      <c r="C52" s="8">
        <v>32</v>
      </c>
      <c r="D52" s="24">
        <v>9.8846611368312701E-2</v>
      </c>
      <c r="E52" s="24">
        <v>33.350128173828097</v>
      </c>
      <c r="F52" s="8">
        <v>32</v>
      </c>
      <c r="G52" s="24">
        <v>9.6927566000000007E-2</v>
      </c>
      <c r="H52" s="24">
        <v>34.585762019999997</v>
      </c>
      <c r="I52" s="9"/>
    </row>
    <row r="53" spans="1:9">
      <c r="A53" s="8"/>
      <c r="B53" s="31"/>
      <c r="C53" s="8">
        <v>38</v>
      </c>
      <c r="D53" s="24">
        <v>4.8428980195473197E-2</v>
      </c>
      <c r="E53" s="24">
        <v>32.133392333984297</v>
      </c>
      <c r="F53" s="8">
        <v>38</v>
      </c>
      <c r="G53" s="24">
        <v>5.0713573999999997E-2</v>
      </c>
      <c r="H53" s="24">
        <v>33.658611299999997</v>
      </c>
      <c r="I53" s="9"/>
    </row>
    <row r="54" spans="1:9" ht="15" thickBot="1">
      <c r="A54" s="8"/>
      <c r="B54" s="32"/>
      <c r="C54" s="10">
        <v>45</v>
      </c>
      <c r="D54" s="24">
        <v>2.4110243055555501E-2</v>
      </c>
      <c r="E54" s="24">
        <v>30.831844329833899</v>
      </c>
      <c r="F54" s="10">
        <v>45</v>
      </c>
      <c r="G54" s="24">
        <v>2.7667180999999999E-2</v>
      </c>
      <c r="H54" s="24">
        <v>32.590480800000002</v>
      </c>
      <c r="I54" s="2"/>
    </row>
    <row r="55" spans="1:9">
      <c r="A55" s="20" t="s">
        <v>10</v>
      </c>
      <c r="B55" s="30" t="s">
        <v>53</v>
      </c>
      <c r="C55" s="6">
        <v>27</v>
      </c>
      <c r="D55" s="24">
        <v>0.105985243055555</v>
      </c>
      <c r="E55" s="24">
        <v>38.028709411621001</v>
      </c>
      <c r="F55" s="6">
        <v>27</v>
      </c>
      <c r="G55" s="24">
        <v>0.11333831699999999</v>
      </c>
      <c r="H55" s="24">
        <v>38.171272279999997</v>
      </c>
      <c r="I55" s="7">
        <f>bdrate($D55:$D58,E55:E58,$G55:$G58,H55:H58)</f>
        <v>-3.9311288118790699E-3</v>
      </c>
    </row>
    <row r="56" spans="1:9">
      <c r="A56" s="14" t="s">
        <v>11</v>
      </c>
      <c r="B56" s="31"/>
      <c r="C56" s="8">
        <v>32</v>
      </c>
      <c r="D56" s="24">
        <v>7.3003311471193405E-2</v>
      </c>
      <c r="E56" s="24">
        <v>37.160804748535099</v>
      </c>
      <c r="F56" s="8">
        <v>32</v>
      </c>
      <c r="G56" s="24">
        <v>7.9161843999999995E-2</v>
      </c>
      <c r="H56" s="24">
        <v>37.384590150000001</v>
      </c>
      <c r="I56" s="9"/>
    </row>
    <row r="57" spans="1:9">
      <c r="A57" s="8"/>
      <c r="B57" s="31"/>
      <c r="C57" s="8">
        <v>38</v>
      </c>
      <c r="D57" s="24">
        <v>5.2159529320987601E-2</v>
      </c>
      <c r="E57" s="24">
        <v>36.196834564208899</v>
      </c>
      <c r="F57" s="8">
        <v>38</v>
      </c>
      <c r="G57" s="24">
        <v>5.6984953999999997E-2</v>
      </c>
      <c r="H57" s="24">
        <v>36.479167940000004</v>
      </c>
      <c r="I57" s="9"/>
    </row>
    <row r="58" spans="1:9" ht="15" thickBot="1">
      <c r="A58" s="8"/>
      <c r="B58" s="32"/>
      <c r="C58" s="10">
        <v>45</v>
      </c>
      <c r="D58" s="24">
        <v>3.4141268004115197E-2</v>
      </c>
      <c r="E58" s="24">
        <v>34.663169860839801</v>
      </c>
      <c r="F58" s="10">
        <v>45</v>
      </c>
      <c r="G58" s="24">
        <v>3.7779384999999999E-2</v>
      </c>
      <c r="H58" s="24">
        <v>35.067504880000001</v>
      </c>
      <c r="I58" s="2"/>
    </row>
    <row r="59" spans="1:9">
      <c r="A59" s="8"/>
      <c r="B59" s="30" t="s">
        <v>54</v>
      </c>
      <c r="C59" s="6">
        <v>27</v>
      </c>
      <c r="D59" s="24">
        <v>0.135934284979423</v>
      </c>
      <c r="E59" s="24">
        <v>34.886940002441399</v>
      </c>
      <c r="F59" s="6">
        <v>27</v>
      </c>
      <c r="G59" s="24">
        <v>9.9479488000000005E-2</v>
      </c>
      <c r="H59" s="24">
        <v>35.015670780000001</v>
      </c>
      <c r="I59" s="7">
        <f>bdrate($D59:$D62,E59:E62,$G59:$G62,H59:H62)</f>
        <v>-0.41778782354684796</v>
      </c>
    </row>
    <row r="60" spans="1:9">
      <c r="A60" s="8"/>
      <c r="B60" s="31"/>
      <c r="C60" s="8">
        <v>32</v>
      </c>
      <c r="D60" s="24">
        <v>4.3973765432098702E-2</v>
      </c>
      <c r="E60" s="24">
        <v>33.519859313964801</v>
      </c>
      <c r="F60" s="8">
        <v>32</v>
      </c>
      <c r="G60" s="24">
        <v>5.1975630000000002E-2</v>
      </c>
      <c r="H60" s="24">
        <v>34.433273319999998</v>
      </c>
      <c r="I60" s="9"/>
    </row>
    <row r="61" spans="1:9">
      <c r="A61" s="8"/>
      <c r="B61" s="31"/>
      <c r="C61" s="8">
        <v>38</v>
      </c>
      <c r="D61" s="24">
        <v>2.9875257201646001E-2</v>
      </c>
      <c r="E61" s="24">
        <v>33.008113861083899</v>
      </c>
      <c r="F61" s="8">
        <v>38</v>
      </c>
      <c r="G61" s="24">
        <v>3.5270221999999997E-2</v>
      </c>
      <c r="H61" s="24">
        <v>33.973976139999998</v>
      </c>
      <c r="I61" s="9"/>
    </row>
    <row r="62" spans="1:9" ht="15" thickBot="1">
      <c r="A62" s="8"/>
      <c r="B62" s="32"/>
      <c r="C62" s="10">
        <v>45</v>
      </c>
      <c r="D62" s="24">
        <v>1.87321566358024E-2</v>
      </c>
      <c r="E62" s="24">
        <v>32.2557983398437</v>
      </c>
      <c r="F62" s="10">
        <v>45</v>
      </c>
      <c r="G62" s="24">
        <v>2.2564783000000001E-2</v>
      </c>
      <c r="H62" s="24">
        <v>33.214401250000002</v>
      </c>
      <c r="I62" s="2"/>
    </row>
    <row r="63" spans="1:9">
      <c r="A63" s="8"/>
      <c r="B63" s="30" t="s">
        <v>55</v>
      </c>
      <c r="C63" s="6">
        <v>27</v>
      </c>
      <c r="D63" s="24">
        <v>2.5155446244855901E-2</v>
      </c>
      <c r="E63" s="24">
        <v>40.2514038085937</v>
      </c>
      <c r="F63" s="6">
        <v>27</v>
      </c>
      <c r="G63" s="24">
        <v>2.6176698000000002E-2</v>
      </c>
      <c r="H63" s="24">
        <v>40.374668120000003</v>
      </c>
      <c r="I63" s="7">
        <f>bdrate($D63:$D66,E63:E66,$G63:$G66,H63:H66)</f>
        <v>-1.9240154280409594E-2</v>
      </c>
    </row>
    <row r="64" spans="1:9">
      <c r="A64" s="8"/>
      <c r="B64" s="31"/>
      <c r="C64" s="8">
        <v>32</v>
      </c>
      <c r="D64" s="24">
        <v>1.6693190586419701E-2</v>
      </c>
      <c r="E64" s="24">
        <v>39.735343933105398</v>
      </c>
      <c r="F64" s="8">
        <v>32</v>
      </c>
      <c r="G64" s="24">
        <v>1.7995273999999999E-2</v>
      </c>
      <c r="H64" s="24">
        <v>39.922382349999999</v>
      </c>
      <c r="I64" s="9"/>
    </row>
    <row r="65" spans="1:9">
      <c r="A65" s="8"/>
      <c r="B65" s="31"/>
      <c r="C65" s="8">
        <v>38</v>
      </c>
      <c r="D65" s="24">
        <v>1.17637602880658E-2</v>
      </c>
      <c r="E65" s="24">
        <v>39.163799285888601</v>
      </c>
      <c r="F65" s="8">
        <v>38</v>
      </c>
      <c r="G65" s="24">
        <v>1.3018904E-2</v>
      </c>
      <c r="H65" s="24">
        <v>39.385650630000001</v>
      </c>
      <c r="I65" s="9"/>
    </row>
    <row r="66" spans="1:9" ht="15" thickBot="1">
      <c r="A66" s="8"/>
      <c r="B66" s="32"/>
      <c r="C66" s="10">
        <v>45</v>
      </c>
      <c r="D66" s="24">
        <v>8.1780478395061702E-3</v>
      </c>
      <c r="E66" s="24">
        <v>38.267269134521399</v>
      </c>
      <c r="F66" s="10">
        <v>45</v>
      </c>
      <c r="G66" s="24">
        <v>9.3425279999999992E-3</v>
      </c>
      <c r="H66" s="24">
        <v>38.516052250000001</v>
      </c>
      <c r="I66" s="2"/>
    </row>
    <row r="67" spans="1:9">
      <c r="A67" s="12"/>
      <c r="B67" s="30" t="s">
        <v>56</v>
      </c>
      <c r="C67" s="6">
        <v>27</v>
      </c>
      <c r="D67" s="24">
        <v>0.12506671167695399</v>
      </c>
      <c r="E67" s="24">
        <v>38.245460510253899</v>
      </c>
      <c r="F67" s="6">
        <v>27</v>
      </c>
      <c r="G67" s="24">
        <v>0.125066712</v>
      </c>
      <c r="H67" s="24">
        <v>38.245460510000001</v>
      </c>
      <c r="I67" s="7">
        <f>bdrate($D67:$D70,E67:E70,$G67:$G70,H67:H70)</f>
        <v>1.6750534292953034E-10</v>
      </c>
    </row>
    <row r="68" spans="1:9">
      <c r="A68" s="12"/>
      <c r="B68" s="31"/>
      <c r="C68" s="8">
        <v>32</v>
      </c>
      <c r="D68" s="24">
        <v>8.3861882716049302E-2</v>
      </c>
      <c r="E68" s="24">
        <v>37.430423736572202</v>
      </c>
      <c r="F68" s="8">
        <v>32</v>
      </c>
      <c r="G68" s="24">
        <v>8.3861882999999998E-2</v>
      </c>
      <c r="H68" s="24">
        <v>37.430423740000002</v>
      </c>
      <c r="I68" s="9"/>
    </row>
    <row r="69" spans="1:9">
      <c r="A69" s="12"/>
      <c r="B69" s="31"/>
      <c r="C69" s="8">
        <v>38</v>
      </c>
      <c r="D69" s="24">
        <v>5.7628440072016403E-2</v>
      </c>
      <c r="E69" s="24">
        <v>36.478309631347599</v>
      </c>
      <c r="F69" s="8">
        <v>38</v>
      </c>
      <c r="G69" s="24">
        <v>5.7628440000000003E-2</v>
      </c>
      <c r="H69" s="24">
        <v>36.478309629999998</v>
      </c>
      <c r="I69" s="9"/>
    </row>
    <row r="70" spans="1:9" ht="15" thickBot="1">
      <c r="A70" s="12"/>
      <c r="B70" s="32"/>
      <c r="C70" s="10">
        <v>45</v>
      </c>
      <c r="D70" s="24">
        <v>3.5671457047325099E-2</v>
      </c>
      <c r="E70" s="24">
        <v>34.978252410888601</v>
      </c>
      <c r="F70" s="10">
        <v>45</v>
      </c>
      <c r="G70" s="24">
        <v>3.5671456999999997E-2</v>
      </c>
      <c r="H70" s="24">
        <v>34.978252410000003</v>
      </c>
      <c r="I70" s="2"/>
    </row>
    <row r="71" spans="1:9">
      <c r="A71" s="12"/>
      <c r="B71" s="30" t="s">
        <v>57</v>
      </c>
      <c r="C71" s="6">
        <v>27</v>
      </c>
      <c r="D71" s="24">
        <v>9.8962995113168695E-2</v>
      </c>
      <c r="E71" s="24">
        <v>37.1484565734863</v>
      </c>
      <c r="F71" s="6">
        <v>27</v>
      </c>
      <c r="G71" s="24">
        <v>9.6855388000000001E-2</v>
      </c>
      <c r="H71" s="24">
        <v>37.836837770000002</v>
      </c>
      <c r="I71" s="7">
        <f>bdrate($D71:$D74,E71:E74,$G71:$G74,H71:H74)</f>
        <v>-0.16753921412000972</v>
      </c>
    </row>
    <row r="72" spans="1:9">
      <c r="A72" s="12"/>
      <c r="B72" s="31"/>
      <c r="C72" s="8">
        <v>32</v>
      </c>
      <c r="D72" s="24">
        <v>6.9021508487654301E-2</v>
      </c>
      <c r="E72" s="24">
        <v>36.100135803222599</v>
      </c>
      <c r="F72" s="8">
        <v>32</v>
      </c>
      <c r="G72" s="24">
        <v>6.8080311000000004E-2</v>
      </c>
      <c r="H72" s="24">
        <v>36.751594539999999</v>
      </c>
      <c r="I72" s="9"/>
    </row>
    <row r="73" spans="1:9">
      <c r="A73" s="12"/>
      <c r="B73" s="31"/>
      <c r="C73" s="8">
        <v>38</v>
      </c>
      <c r="D73" s="24">
        <v>4.9227912808641902E-2</v>
      </c>
      <c r="E73" s="24">
        <v>34.989128112792898</v>
      </c>
      <c r="F73" s="8">
        <v>38</v>
      </c>
      <c r="G73" s="24">
        <v>4.8814461000000003E-2</v>
      </c>
      <c r="H73" s="24">
        <v>35.58388901</v>
      </c>
      <c r="I73" s="9"/>
    </row>
    <row r="74" spans="1:9" ht="15" thickBot="1">
      <c r="B74" s="32"/>
      <c r="C74" s="10">
        <v>45</v>
      </c>
      <c r="D74" s="24">
        <v>3.2488104423868298E-2</v>
      </c>
      <c r="E74" s="24">
        <v>33.334487915038999</v>
      </c>
      <c r="F74" s="10">
        <v>45</v>
      </c>
      <c r="G74" s="24">
        <v>3.2337641E-2</v>
      </c>
      <c r="H74" s="24">
        <v>33.865638730000001</v>
      </c>
      <c r="I74" s="2"/>
    </row>
    <row r="75" spans="1:9">
      <c r="B75" s="30" t="s">
        <v>58</v>
      </c>
      <c r="C75" s="6">
        <v>27</v>
      </c>
      <c r="D75" s="24">
        <v>0.124627861368312</v>
      </c>
      <c r="E75" s="24">
        <v>39.451332092285099</v>
      </c>
      <c r="F75" s="6">
        <v>27</v>
      </c>
      <c r="G75" s="24">
        <v>0.12462786100000001</v>
      </c>
      <c r="H75" s="24">
        <v>39.451332090000001</v>
      </c>
      <c r="I75" s="7">
        <f>bdrate($D75:$D78,E75:E78,$G75:$G78,H75:H78)</f>
        <v>-3.1375944065104022E-9</v>
      </c>
    </row>
    <row r="76" spans="1:9">
      <c r="B76" s="31"/>
      <c r="C76" s="8">
        <v>32</v>
      </c>
      <c r="D76" s="24">
        <v>8.9543627829218098E-2</v>
      </c>
      <c r="E76" s="24">
        <v>38.255058288574197</v>
      </c>
      <c r="F76" s="8">
        <v>32</v>
      </c>
      <c r="G76" s="24">
        <v>8.9543628E-2</v>
      </c>
      <c r="H76" s="24">
        <v>38.255058290000001</v>
      </c>
      <c r="I76" s="9"/>
    </row>
    <row r="77" spans="1:9">
      <c r="B77" s="31"/>
      <c r="C77" s="8">
        <v>38</v>
      </c>
      <c r="D77" s="24">
        <v>6.5008198302469095E-2</v>
      </c>
      <c r="E77" s="24">
        <v>36.981357574462798</v>
      </c>
      <c r="F77" s="8">
        <v>38</v>
      </c>
      <c r="G77" s="24">
        <v>6.5008198000000003E-2</v>
      </c>
      <c r="H77" s="24">
        <v>36.98135757</v>
      </c>
      <c r="I77" s="9"/>
    </row>
    <row r="78" spans="1:9" ht="15" thickBot="1">
      <c r="B78" s="32"/>
      <c r="C78" s="10">
        <v>45</v>
      </c>
      <c r="D78" s="24">
        <v>4.3115676440329202E-2</v>
      </c>
      <c r="E78" s="24">
        <v>35.170646667480398</v>
      </c>
      <c r="F78" s="10">
        <v>45</v>
      </c>
      <c r="G78" s="24">
        <v>4.3115675999999999E-2</v>
      </c>
      <c r="H78" s="24">
        <v>35.170646669999996</v>
      </c>
      <c r="I78" s="2"/>
    </row>
    <row r="79" spans="1:9">
      <c r="B79" s="30" t="s">
        <v>59</v>
      </c>
      <c r="C79" s="6">
        <v>27</v>
      </c>
      <c r="D79" s="24">
        <v>0.16565715020576099</v>
      </c>
      <c r="E79" s="24">
        <v>39.842124938964801</v>
      </c>
      <c r="F79" s="6">
        <v>27</v>
      </c>
      <c r="G79" s="24">
        <v>0.16880979900000001</v>
      </c>
      <c r="H79" s="24">
        <v>39.998699190000004</v>
      </c>
      <c r="I79" s="7">
        <f>bdrate($D79:$D82,E79:E82,$G79:$G82,H79:H82)</f>
        <v>-1.9820226868790147E-2</v>
      </c>
    </row>
    <row r="80" spans="1:9">
      <c r="B80" s="31"/>
      <c r="C80" s="8">
        <v>32</v>
      </c>
      <c r="D80" s="24">
        <v>0.12503793724279799</v>
      </c>
      <c r="E80" s="24">
        <v>38.816192626953097</v>
      </c>
      <c r="F80" s="8">
        <v>32</v>
      </c>
      <c r="G80" s="24">
        <v>0.12684638600000001</v>
      </c>
      <c r="H80" s="24">
        <v>38.959316250000001</v>
      </c>
      <c r="I80" s="9"/>
    </row>
    <row r="81" spans="2:9">
      <c r="B81" s="31"/>
      <c r="C81" s="8">
        <v>38</v>
      </c>
      <c r="D81" s="24">
        <v>9.3702096193415602E-2</v>
      </c>
      <c r="E81" s="24">
        <v>37.638572692871001</v>
      </c>
      <c r="F81" s="8">
        <v>38</v>
      </c>
      <c r="G81" s="24">
        <v>9.4868988000000001E-2</v>
      </c>
      <c r="H81" s="24">
        <v>37.779808039999999</v>
      </c>
      <c r="I81" s="9"/>
    </row>
    <row r="82" spans="2:9" ht="15" thickBot="1">
      <c r="B82" s="32"/>
      <c r="C82" s="10">
        <v>45</v>
      </c>
      <c r="D82" s="24">
        <v>6.3716563786008207E-2</v>
      </c>
      <c r="E82" s="24">
        <v>35.917510986328097</v>
      </c>
      <c r="F82" s="10">
        <v>45</v>
      </c>
      <c r="G82" s="24">
        <v>6.4943737000000001E-2</v>
      </c>
      <c r="H82" s="24">
        <v>36.053268430000003</v>
      </c>
      <c r="I82" s="2"/>
    </row>
    <row r="83" spans="2:9">
      <c r="B83" s="30" t="s">
        <v>60</v>
      </c>
      <c r="C83" s="6">
        <v>27</v>
      </c>
      <c r="D83" s="24">
        <v>5.7611400462962897E-2</v>
      </c>
      <c r="E83" s="24">
        <v>43.569515228271399</v>
      </c>
      <c r="F83" s="6">
        <v>27</v>
      </c>
      <c r="G83" s="24">
        <v>6.0103202000000001E-2</v>
      </c>
      <c r="H83" s="24">
        <v>43.555114750000001</v>
      </c>
      <c r="I83" s="7">
        <f>bdrate($D83:$D86,E83:E86,$G83:$G86,H83:H86)</f>
        <v>6.3067164315210311E-2</v>
      </c>
    </row>
    <row r="84" spans="2:9">
      <c r="B84" s="31"/>
      <c r="C84" s="8">
        <v>32</v>
      </c>
      <c r="D84" s="24">
        <v>4.2141042952674797E-2</v>
      </c>
      <c r="E84" s="24">
        <v>42.906608581542898</v>
      </c>
      <c r="F84" s="8">
        <v>32</v>
      </c>
      <c r="G84" s="24">
        <v>4.3901106000000002E-2</v>
      </c>
      <c r="H84" s="24">
        <v>42.8586235</v>
      </c>
      <c r="I84" s="9"/>
    </row>
    <row r="85" spans="2:9">
      <c r="B85" s="31"/>
      <c r="C85" s="8">
        <v>38</v>
      </c>
      <c r="D85" s="24">
        <v>3.0999871399176902E-2</v>
      </c>
      <c r="E85" s="24">
        <v>42.093547821044901</v>
      </c>
      <c r="F85" s="8">
        <v>38</v>
      </c>
      <c r="G85" s="24">
        <v>3.2316421999999997E-2</v>
      </c>
      <c r="H85" s="24">
        <v>42.03366089</v>
      </c>
      <c r="I85" s="9"/>
    </row>
    <row r="86" spans="2:9" ht="15" thickBot="1">
      <c r="B86" s="32"/>
      <c r="C86" s="10">
        <v>45</v>
      </c>
      <c r="D86" s="24">
        <v>2.1138438786008198E-2</v>
      </c>
      <c r="E86" s="24">
        <v>40.818977355957003</v>
      </c>
      <c r="F86" s="10">
        <v>45</v>
      </c>
      <c r="G86" s="24">
        <v>2.2125129E-2</v>
      </c>
      <c r="H86" s="24">
        <v>40.743999479999999</v>
      </c>
      <c r="I86" s="2"/>
    </row>
    <row r="87" spans="2:9">
      <c r="B87" s="30" t="s">
        <v>61</v>
      </c>
      <c r="C87" s="6">
        <v>27</v>
      </c>
      <c r="D87" s="24">
        <v>0.22396283436213901</v>
      </c>
      <c r="E87" s="24">
        <v>40.347274780273402</v>
      </c>
      <c r="F87" s="6">
        <v>27</v>
      </c>
      <c r="G87" s="24">
        <v>0.23144225800000001</v>
      </c>
      <c r="H87" s="24">
        <v>40.324993130000003</v>
      </c>
      <c r="I87" s="7">
        <f>bdrate($D87:$D90,E87:E90,$G87:$G90,H87:H90)</f>
        <v>4.9040266174634306E-2</v>
      </c>
    </row>
    <row r="88" spans="2:9">
      <c r="B88" s="31"/>
      <c r="C88" s="8">
        <v>32</v>
      </c>
      <c r="D88" s="24">
        <v>0.16452723122427901</v>
      </c>
      <c r="E88" s="24">
        <v>39.278480529785099</v>
      </c>
      <c r="F88" s="8">
        <v>32</v>
      </c>
      <c r="G88" s="24">
        <v>0.170677405</v>
      </c>
      <c r="H88" s="24">
        <v>39.249603270000001</v>
      </c>
      <c r="I88" s="9"/>
    </row>
    <row r="89" spans="2:9">
      <c r="B89" s="31"/>
      <c r="C89" s="8">
        <v>38</v>
      </c>
      <c r="D89" s="24">
        <v>0.12142328960905301</v>
      </c>
      <c r="E89" s="24">
        <v>38.060020446777301</v>
      </c>
      <c r="F89" s="8">
        <v>38</v>
      </c>
      <c r="G89" s="24">
        <v>0.12614085</v>
      </c>
      <c r="H89" s="24">
        <v>38.011016849999997</v>
      </c>
      <c r="I89" s="9"/>
    </row>
    <row r="90" spans="2:9" ht="15" thickBot="1">
      <c r="B90" s="32"/>
      <c r="C90" s="10">
        <v>45</v>
      </c>
      <c r="D90" s="24">
        <v>8.1972575874485601E-2</v>
      </c>
      <c r="E90" s="24">
        <v>36.271278381347599</v>
      </c>
      <c r="F90" s="10">
        <v>45</v>
      </c>
      <c r="G90" s="24">
        <v>8.5346096999999996E-2</v>
      </c>
      <c r="H90" s="24">
        <v>36.205268859999997</v>
      </c>
      <c r="I90" s="2"/>
    </row>
    <row r="91" spans="2:9">
      <c r="B91" s="30" t="s">
        <v>62</v>
      </c>
      <c r="C91" s="6">
        <v>27</v>
      </c>
      <c r="D91" s="24">
        <v>7.4611786265431995E-2</v>
      </c>
      <c r="E91" s="24">
        <v>40.736335754394503</v>
      </c>
      <c r="F91" s="6">
        <v>27</v>
      </c>
      <c r="G91" s="24">
        <v>8.2218364000000002E-2</v>
      </c>
      <c r="H91" s="24">
        <v>41.042400360000002</v>
      </c>
      <c r="I91" s="7">
        <f>bdrate($D91:$D94,E91:E94,$G91:$G94,H91:H94)</f>
        <v>1.6940418862577467E-2</v>
      </c>
    </row>
    <row r="92" spans="2:9">
      <c r="B92" s="31"/>
      <c r="C92" s="8">
        <v>32</v>
      </c>
      <c r="D92" s="24">
        <v>5.1422485853909398E-2</v>
      </c>
      <c r="E92" s="24">
        <v>39.7678833007812</v>
      </c>
      <c r="F92" s="8">
        <v>32</v>
      </c>
      <c r="G92" s="24">
        <v>5.8302147999999998E-2</v>
      </c>
      <c r="H92" s="24">
        <v>40.141811369999999</v>
      </c>
      <c r="I92" s="9"/>
    </row>
    <row r="93" spans="2:9">
      <c r="B93" s="31"/>
      <c r="C93" s="8">
        <v>38</v>
      </c>
      <c r="D93" s="24">
        <v>3.60664223251028E-2</v>
      </c>
      <c r="E93" s="24">
        <v>38.651775360107401</v>
      </c>
      <c r="F93" s="8">
        <v>38</v>
      </c>
      <c r="G93" s="24">
        <v>4.1491287000000002E-2</v>
      </c>
      <c r="H93" s="24">
        <v>39.050697329999998</v>
      </c>
      <c r="I93" s="9"/>
    </row>
    <row r="94" spans="2:9" ht="15" thickBot="1">
      <c r="B94" s="32"/>
      <c r="C94" s="10">
        <v>45</v>
      </c>
      <c r="D94" s="24">
        <v>2.3099762088477301E-2</v>
      </c>
      <c r="E94" s="24">
        <v>36.881729125976499</v>
      </c>
      <c r="F94" s="10">
        <v>45</v>
      </c>
      <c r="G94" s="24">
        <v>2.7194251999999999E-2</v>
      </c>
      <c r="H94" s="24">
        <v>37.382217410000003</v>
      </c>
      <c r="I94" s="2"/>
    </row>
    <row r="95" spans="2:9">
      <c r="B95" s="30" t="s">
        <v>63</v>
      </c>
      <c r="C95" s="6">
        <v>27</v>
      </c>
      <c r="D95" s="24">
        <v>8.3591017232510195E-2</v>
      </c>
      <c r="E95" s="24">
        <v>39.855461120605398</v>
      </c>
      <c r="F95" s="6">
        <v>27</v>
      </c>
      <c r="G95" s="24">
        <v>8.8372073999999995E-2</v>
      </c>
      <c r="H95" s="24">
        <v>39.864181520000002</v>
      </c>
      <c r="I95" s="7">
        <f>bdrate($D95:$D98,E95:E98,$G95:$G98,H95:H98)</f>
        <v>5.439873592897948E-2</v>
      </c>
    </row>
    <row r="96" spans="2:9">
      <c r="B96" s="31"/>
      <c r="C96" s="8">
        <v>32</v>
      </c>
      <c r="D96" s="24">
        <v>5.62882587448559E-2</v>
      </c>
      <c r="E96" s="24">
        <v>39.094749450683501</v>
      </c>
      <c r="F96" s="8">
        <v>32</v>
      </c>
      <c r="G96" s="24">
        <v>6.0388535E-2</v>
      </c>
      <c r="H96" s="24">
        <v>39.149185180000003</v>
      </c>
      <c r="I96" s="9"/>
    </row>
    <row r="97" spans="2:9">
      <c r="B97" s="31"/>
      <c r="C97" s="8">
        <v>38</v>
      </c>
      <c r="D97" s="24">
        <v>3.8945955504115198E-2</v>
      </c>
      <c r="E97" s="24">
        <v>38.219619750976499</v>
      </c>
      <c r="F97" s="8">
        <v>38</v>
      </c>
      <c r="G97" s="24">
        <v>4.227318E-2</v>
      </c>
      <c r="H97" s="24">
        <v>38.291786190000003</v>
      </c>
      <c r="I97" s="9"/>
    </row>
    <row r="98" spans="2:9" ht="15" thickBot="1">
      <c r="B98" s="32"/>
      <c r="C98" s="10">
        <v>45</v>
      </c>
      <c r="D98" s="24">
        <v>2.4877989969135799E-2</v>
      </c>
      <c r="E98" s="24">
        <v>36.834526062011697</v>
      </c>
      <c r="F98" s="10">
        <v>45</v>
      </c>
      <c r="G98" s="24">
        <v>2.7427983999999999E-2</v>
      </c>
      <c r="H98" s="24">
        <v>36.961132050000003</v>
      </c>
      <c r="I98" s="2"/>
    </row>
    <row r="99" spans="2:9">
      <c r="B99" s="30" t="s">
        <v>64</v>
      </c>
      <c r="C99" s="6">
        <v>27</v>
      </c>
      <c r="D99" s="24">
        <v>0.48038451646090502</v>
      </c>
      <c r="E99" s="24">
        <v>33.837043762207003</v>
      </c>
      <c r="F99" s="6">
        <v>27</v>
      </c>
      <c r="G99" s="24">
        <v>0.46445826899999998</v>
      </c>
      <c r="H99" s="24">
        <v>33.922080989999998</v>
      </c>
      <c r="I99" s="7">
        <f>bdrate($D99:$D102,E99:E102,$G99:$G102,H99:H102)</f>
        <v>-0.10013693589909911</v>
      </c>
    </row>
    <row r="100" spans="2:9">
      <c r="B100" s="31"/>
      <c r="C100" s="8">
        <v>32</v>
      </c>
      <c r="D100" s="24">
        <v>0.35799784593621398</v>
      </c>
      <c r="E100" s="24">
        <v>33.136146545410099</v>
      </c>
      <c r="F100" s="8">
        <v>32</v>
      </c>
      <c r="G100" s="24">
        <v>0.3447518</v>
      </c>
      <c r="H100" s="24">
        <v>33.264488219999997</v>
      </c>
      <c r="I100" s="9"/>
    </row>
    <row r="101" spans="2:9">
      <c r="B101" s="31"/>
      <c r="C101" s="8">
        <v>38</v>
      </c>
      <c r="D101" s="24">
        <v>0.25841322659464999</v>
      </c>
      <c r="E101" s="24">
        <v>32.194644927978501</v>
      </c>
      <c r="F101" s="8">
        <v>38</v>
      </c>
      <c r="G101" s="24">
        <v>0.248922486</v>
      </c>
      <c r="H101" s="24">
        <v>32.40103912</v>
      </c>
      <c r="I101" s="9"/>
    </row>
    <row r="102" spans="2:9" ht="15" thickBot="1">
      <c r="B102" s="32"/>
      <c r="C102" s="10">
        <v>45</v>
      </c>
      <c r="D102" s="24">
        <v>0.15983378343621399</v>
      </c>
      <c r="E102" s="24">
        <v>30.586408615112301</v>
      </c>
      <c r="F102" s="10">
        <v>45</v>
      </c>
      <c r="G102" s="24">
        <v>0.15341354800000001</v>
      </c>
      <c r="H102" s="24">
        <v>30.919324870000001</v>
      </c>
      <c r="I102" s="2"/>
    </row>
    <row r="103" spans="2:9">
      <c r="B103" s="30" t="s">
        <v>65</v>
      </c>
      <c r="C103" s="6">
        <v>27</v>
      </c>
      <c r="D103" s="24">
        <v>6.9207175925925901E-2</v>
      </c>
      <c r="E103" s="24">
        <v>40.854652404785099</v>
      </c>
      <c r="F103" s="6">
        <v>27</v>
      </c>
      <c r="G103" s="24">
        <v>7.1612172000000002E-2</v>
      </c>
      <c r="H103" s="24">
        <v>41.075481410000002</v>
      </c>
      <c r="I103" s="7">
        <f>bdrate($D103:$D106,E103:E106,$G103:$G106,H103:H106)</f>
        <v>-4.3160705609458061E-2</v>
      </c>
    </row>
    <row r="104" spans="2:9">
      <c r="B104" s="31"/>
      <c r="C104" s="8">
        <v>32</v>
      </c>
      <c r="D104" s="24">
        <v>5.0949074074074001E-2</v>
      </c>
      <c r="E104" s="24">
        <v>40.158332824707003</v>
      </c>
      <c r="F104" s="8">
        <v>32</v>
      </c>
      <c r="G104" s="24">
        <v>5.2744985000000001E-2</v>
      </c>
      <c r="H104" s="24">
        <v>40.387622829999998</v>
      </c>
      <c r="I104" s="9"/>
    </row>
    <row r="105" spans="2:9">
      <c r="B105" s="31"/>
      <c r="C105" s="8">
        <v>38</v>
      </c>
      <c r="D105" s="24">
        <v>3.8028549382716E-2</v>
      </c>
      <c r="E105" s="24">
        <v>39.306640625</v>
      </c>
      <c r="F105" s="8">
        <v>38</v>
      </c>
      <c r="G105" s="24">
        <v>3.9524337999999999E-2</v>
      </c>
      <c r="H105" s="24">
        <v>39.561527249999997</v>
      </c>
      <c r="I105" s="9"/>
    </row>
    <row r="106" spans="2:9" ht="15" thickBot="1">
      <c r="B106" s="32"/>
      <c r="C106" s="10">
        <v>45</v>
      </c>
      <c r="D106" s="24">
        <v>2.6430362654320898E-2</v>
      </c>
      <c r="E106" s="24">
        <v>37.912590026855398</v>
      </c>
      <c r="F106" s="10">
        <v>45</v>
      </c>
      <c r="G106" s="24">
        <v>2.7686631999999999E-2</v>
      </c>
      <c r="H106" s="24">
        <v>38.22663498</v>
      </c>
      <c r="I106" s="2"/>
    </row>
    <row r="107" spans="2:9">
      <c r="B107" s="30" t="s">
        <v>66</v>
      </c>
      <c r="C107" s="6">
        <v>27</v>
      </c>
      <c r="D107" s="24">
        <v>0.13865081661522599</v>
      </c>
      <c r="E107" s="24">
        <v>39.349666595458899</v>
      </c>
      <c r="F107" s="6">
        <v>27</v>
      </c>
      <c r="G107" s="24">
        <v>0.13323431099999999</v>
      </c>
      <c r="H107" s="24">
        <v>40.24879456</v>
      </c>
      <c r="I107" s="7">
        <f>bdrate($D107:$D110,E107:E110,$G107:$G110,H107:H110)</f>
        <v>-0.29807008006722757</v>
      </c>
    </row>
    <row r="108" spans="2:9">
      <c r="B108" s="31"/>
      <c r="C108" s="8">
        <v>32</v>
      </c>
      <c r="D108" s="24">
        <v>9.43968621399177E-2</v>
      </c>
      <c r="E108" s="24">
        <v>37.855991363525298</v>
      </c>
      <c r="F108" s="8">
        <v>32</v>
      </c>
      <c r="G108" s="24">
        <v>8.9662262000000006E-2</v>
      </c>
      <c r="H108" s="24">
        <v>38.923522949999999</v>
      </c>
      <c r="I108" s="9"/>
    </row>
    <row r="109" spans="2:9">
      <c r="B109" s="31"/>
      <c r="C109" s="8">
        <v>38</v>
      </c>
      <c r="D109" s="24">
        <v>6.41665059156378E-2</v>
      </c>
      <c r="E109" s="24">
        <v>36.396522521972599</v>
      </c>
      <c r="F109" s="8">
        <v>38</v>
      </c>
      <c r="G109" s="24">
        <v>6.0592368000000001E-2</v>
      </c>
      <c r="H109" s="24">
        <v>37.535274510000001</v>
      </c>
      <c r="I109" s="9"/>
    </row>
    <row r="110" spans="2:9" ht="15" thickBot="1">
      <c r="B110" s="32"/>
      <c r="C110" s="10">
        <v>45</v>
      </c>
      <c r="D110" s="24">
        <v>3.78036586934156E-2</v>
      </c>
      <c r="E110" s="24">
        <v>34.392807006835902</v>
      </c>
      <c r="F110" s="10">
        <v>45</v>
      </c>
      <c r="G110" s="24">
        <v>3.6075745999999999E-2</v>
      </c>
      <c r="H110" s="24">
        <v>35.628265380000002</v>
      </c>
      <c r="I110" s="2"/>
    </row>
    <row r="111" spans="2:9">
      <c r="B111" s="30" t="s">
        <v>67</v>
      </c>
      <c r="C111" s="6">
        <v>27</v>
      </c>
      <c r="D111" s="24">
        <v>2.8568029835390901E-2</v>
      </c>
      <c r="E111" s="24">
        <v>40.854263305663999</v>
      </c>
      <c r="F111" s="6">
        <v>27</v>
      </c>
      <c r="G111" s="24">
        <v>2.3391203999999999E-2</v>
      </c>
      <c r="H111" s="24">
        <v>41.578239439999997</v>
      </c>
      <c r="I111" s="7">
        <f>bdrate($D111:$D114,E111:E114,$G111:$G114,H111:H114)</f>
        <v>-0.45838294599375329</v>
      </c>
    </row>
    <row r="112" spans="2:9">
      <c r="B112" s="31"/>
      <c r="C112" s="8">
        <v>32</v>
      </c>
      <c r="D112" s="24">
        <v>2.0124421296296199E-2</v>
      </c>
      <c r="E112" s="24">
        <v>40.099376678466797</v>
      </c>
      <c r="F112" s="8">
        <v>32</v>
      </c>
      <c r="G112" s="24">
        <v>1.6462191000000001E-2</v>
      </c>
      <c r="H112" s="24">
        <v>41.06578064</v>
      </c>
      <c r="I112" s="9"/>
    </row>
    <row r="113" spans="1:9">
      <c r="B113" s="31"/>
      <c r="C113" s="8">
        <v>38</v>
      </c>
      <c r="D113" s="24">
        <v>1.47571051954732E-2</v>
      </c>
      <c r="E113" s="24">
        <v>39.223278045654297</v>
      </c>
      <c r="F113" s="8">
        <v>38</v>
      </c>
      <c r="G113" s="24">
        <v>1.2261124E-2</v>
      </c>
      <c r="H113" s="24">
        <v>40.43807983</v>
      </c>
      <c r="I113" s="9"/>
    </row>
    <row r="114" spans="1:9" ht="15" thickBot="1">
      <c r="B114" s="32"/>
      <c r="C114" s="10">
        <v>45</v>
      </c>
      <c r="D114" s="24">
        <v>1.0399787808641901E-2</v>
      </c>
      <c r="E114" s="24">
        <v>37.878963470458899</v>
      </c>
      <c r="F114" s="10">
        <v>45</v>
      </c>
      <c r="G114" s="24">
        <v>8.888567E-3</v>
      </c>
      <c r="H114" s="24">
        <v>39.339603420000003</v>
      </c>
      <c r="I114" s="2"/>
    </row>
    <row r="115" spans="1:9">
      <c r="B115" s="30" t="s">
        <v>68</v>
      </c>
      <c r="C115" s="6">
        <v>27</v>
      </c>
      <c r="D115" s="24">
        <v>6.8116640946502003E-3</v>
      </c>
      <c r="E115" s="24">
        <v>44.039024353027301</v>
      </c>
      <c r="F115" s="6">
        <v>27</v>
      </c>
      <c r="G115" s="24">
        <v>6.6751859999999996E-3</v>
      </c>
      <c r="H115" s="24">
        <v>44.665855409999999</v>
      </c>
      <c r="I115" s="7">
        <f>bdrate($D115:$D118,E115:E118,$G115:$G118,H115:H118)</f>
        <v>-0.29614994775728665</v>
      </c>
    </row>
    <row r="116" spans="1:9">
      <c r="B116" s="31"/>
      <c r="C116" s="8">
        <v>32</v>
      </c>
      <c r="D116" s="24">
        <v>5.0835905349794199E-3</v>
      </c>
      <c r="E116" s="24">
        <v>43.620719909667898</v>
      </c>
      <c r="F116" s="8">
        <v>32</v>
      </c>
      <c r="G116" s="24">
        <v>4.9691359999999999E-3</v>
      </c>
      <c r="H116" s="24">
        <v>44.382011409999997</v>
      </c>
      <c r="I116" s="9"/>
    </row>
    <row r="117" spans="1:9">
      <c r="B117" s="31"/>
      <c r="C117" s="8">
        <v>38</v>
      </c>
      <c r="D117" s="24">
        <v>4.0985082304526698E-3</v>
      </c>
      <c r="E117" s="24">
        <v>43.123077392578097</v>
      </c>
      <c r="F117" s="8">
        <v>38</v>
      </c>
      <c r="G117" s="24">
        <v>4.0477109999999998E-3</v>
      </c>
      <c r="H117" s="24">
        <v>44.025524140000002</v>
      </c>
      <c r="I117" s="9"/>
    </row>
    <row r="118" spans="1:9" ht="15" thickBot="1">
      <c r="B118" s="32"/>
      <c r="C118" s="10">
        <v>45</v>
      </c>
      <c r="D118" s="24">
        <v>3.6003407921810699E-3</v>
      </c>
      <c r="E118" s="24">
        <v>42.237274169921797</v>
      </c>
      <c r="F118" s="10">
        <v>45</v>
      </c>
      <c r="G118" s="24">
        <v>3.6347419999999998E-3</v>
      </c>
      <c r="H118" s="24">
        <v>43.353206630000003</v>
      </c>
      <c r="I118" s="2"/>
    </row>
    <row r="119" spans="1:9">
      <c r="B119" s="30" t="s">
        <v>69</v>
      </c>
      <c r="C119" s="6">
        <v>27</v>
      </c>
      <c r="D119" s="24">
        <v>1.8240258487654301E-2</v>
      </c>
      <c r="E119" s="24">
        <v>38.139328002929602</v>
      </c>
      <c r="F119" s="6">
        <v>27</v>
      </c>
      <c r="G119" s="24">
        <v>1.8704186000000001E-2</v>
      </c>
      <c r="H119" s="24">
        <v>38.613231659999997</v>
      </c>
      <c r="I119" s="7">
        <f>bdrate($D119:$D122,E119:E122,$G119:$G122,H119:H122)</f>
        <v>-0.40383863281916843</v>
      </c>
    </row>
    <row r="120" spans="1:9">
      <c r="B120" s="31"/>
      <c r="C120" s="8">
        <v>32</v>
      </c>
      <c r="D120" s="24">
        <v>1.31240354938271E-2</v>
      </c>
      <c r="E120" s="24">
        <v>37.869365692138601</v>
      </c>
      <c r="F120" s="8">
        <v>32</v>
      </c>
      <c r="G120" s="24">
        <v>1.2964410000000001E-2</v>
      </c>
      <c r="H120" s="24">
        <v>38.40190887</v>
      </c>
      <c r="I120" s="9"/>
    </row>
    <row r="121" spans="1:9">
      <c r="B121" s="31"/>
      <c r="C121" s="8">
        <v>38</v>
      </c>
      <c r="D121" s="24">
        <v>9.67689043209876E-3</v>
      </c>
      <c r="E121" s="24">
        <v>37.529048919677699</v>
      </c>
      <c r="F121" s="8">
        <v>38</v>
      </c>
      <c r="G121" s="24">
        <v>9.4974919999999997E-3</v>
      </c>
      <c r="H121" s="24">
        <v>38.127548220000001</v>
      </c>
      <c r="I121" s="9"/>
    </row>
    <row r="122" spans="1:9" ht="15" thickBot="1">
      <c r="B122" s="32"/>
      <c r="C122" s="10">
        <v>45</v>
      </c>
      <c r="D122" s="24">
        <v>6.8574781378600803E-3</v>
      </c>
      <c r="E122" s="24">
        <v>36.840423583984297</v>
      </c>
      <c r="F122" s="10">
        <v>45</v>
      </c>
      <c r="G122" s="24">
        <v>6.6481800000000001E-3</v>
      </c>
      <c r="H122" s="24">
        <v>37.561382289999997</v>
      </c>
      <c r="I122" s="2"/>
    </row>
    <row r="123" spans="1:9" ht="15" thickBot="1">
      <c r="A123" s="11"/>
      <c r="B123" s="4" t="s">
        <v>2</v>
      </c>
      <c r="C123" s="18"/>
      <c r="D123" s="11"/>
      <c r="E123" s="18"/>
      <c r="F123" s="18"/>
      <c r="G123" s="11"/>
      <c r="H123" s="18"/>
      <c r="I123" s="19">
        <f>AVERAGE(I3:I122)</f>
        <v>-0.13320146950548703</v>
      </c>
    </row>
    <row r="124" spans="1:9" ht="15" thickBot="1"/>
    <row r="125" spans="1:9">
      <c r="B125" t="s">
        <v>70</v>
      </c>
      <c r="D125">
        <f>AVERAGE(D3,D7,D11,D15,D19,D23,D27,D31,D35,D39,D43,D47,D51,D55,D59,D63,D67,D71,D75,D79,D83,D87,D91,D95,D99,D103,D107,D111,D115,D119)</f>
        <v>0.13422426911865537</v>
      </c>
      <c r="E125">
        <f>AVERAGE(E3,E7,E11,E15,E19,E23,E27,E31,E35,E39,E43,E47,E51,E55,E59,E63,E67,E71,E75,E79,E83,E87,E91,E95,E99,E103,E107,E111,E115,E119)</f>
        <v>38.437385050455688</v>
      </c>
      <c r="G125">
        <f>AVERAGE(G3,G7,G11,G15,G19,G23,G27,G31,G35,G39,G43,G47,G51,G55,G59,G63,G67,G71,G75,G79,G83,G87,G91,G95,G99,G103,G107,G111,G115,G119)</f>
        <v>0.13733184370000001</v>
      </c>
      <c r="H125">
        <f>AVERAGE(H3,H7,H11,H15,H19,H23,H27,H31,H35,H39,H43,H47,H51,H55,H59,H63,H67,H71,H75,H79,H83,H87,H91,H95,H99,H103,H107,H111,H115,H119)</f>
        <v>38.734150887000006</v>
      </c>
      <c r="I125" s="7">
        <f>bdrate($D125:$D128,E125:E128,$G125:$G128,H125:H128)</f>
        <v>-0.13659646451697893</v>
      </c>
    </row>
    <row r="126" spans="1:9">
      <c r="D126">
        <f t="shared" ref="D126:E128" si="0">AVERAGE(D4,D8,D12,D16,D20,D24,D28,D32,D36,D40,D44,D48,D52,D56,D60,D64,D68,D72,D76,D80,D84,D88,D92,D96,D100,D104,D108,D112,D116,D120)</f>
        <v>9.1119620198902448E-2</v>
      </c>
      <c r="E126">
        <f t="shared" si="0"/>
        <v>37.588327980041441</v>
      </c>
      <c r="G126">
        <f t="shared" ref="G126:H128" si="1">AVERAGE(G4,G8,G12,G16,G20,G24,G28,G32,G36,G40,G44,G48,G52,G56,G60,G64,G68,G72,G76,G80,G84,G88,G92,G96,G100,G104,G108,G112,G116,G120)</f>
        <v>9.1992551866666675E-2</v>
      </c>
      <c r="H126">
        <f t="shared" si="1"/>
        <v>37.963359450666665</v>
      </c>
    </row>
    <row r="127" spans="1:9">
      <c r="D127">
        <f t="shared" si="0"/>
        <v>6.4295647933813288E-2</v>
      </c>
      <c r="E127">
        <f t="shared" si="0"/>
        <v>36.699231719970662</v>
      </c>
      <c r="G127">
        <f t="shared" si="1"/>
        <v>6.5167631133333334E-2</v>
      </c>
      <c r="H127">
        <f t="shared" si="1"/>
        <v>37.126765632666682</v>
      </c>
    </row>
    <row r="128" spans="1:9">
      <c r="D128">
        <f t="shared" si="0"/>
        <v>4.1095320001714633E-2</v>
      </c>
      <c r="E128">
        <f t="shared" si="0"/>
        <v>35.35101706186925</v>
      </c>
      <c r="G128">
        <f t="shared" si="1"/>
        <v>4.2003933066666672E-2</v>
      </c>
      <c r="H128">
        <f t="shared" si="1"/>
        <v>35.854023741666666</v>
      </c>
    </row>
  </sheetData>
  <mergeCells count="32">
    <mergeCell ref="B39:B42"/>
    <mergeCell ref="D1:E1"/>
    <mergeCell ref="G1:H1"/>
    <mergeCell ref="B3:B6"/>
    <mergeCell ref="B7:B10"/>
    <mergeCell ref="B11:B14"/>
    <mergeCell ref="B15:B18"/>
    <mergeCell ref="B19:B22"/>
    <mergeCell ref="B23:B26"/>
    <mergeCell ref="B27:B30"/>
    <mergeCell ref="B31:B34"/>
    <mergeCell ref="B35:B38"/>
    <mergeCell ref="B87:B90"/>
    <mergeCell ref="B43:B46"/>
    <mergeCell ref="B47:B50"/>
    <mergeCell ref="B51:B54"/>
    <mergeCell ref="B55:B58"/>
    <mergeCell ref="B59:B62"/>
    <mergeCell ref="B63:B66"/>
    <mergeCell ref="B67:B70"/>
    <mergeCell ref="B71:B74"/>
    <mergeCell ref="B75:B78"/>
    <mergeCell ref="B79:B82"/>
    <mergeCell ref="B83:B86"/>
    <mergeCell ref="B115:B118"/>
    <mergeCell ref="B119:B122"/>
    <mergeCell ref="B91:B94"/>
    <mergeCell ref="B95:B98"/>
    <mergeCell ref="B99:B102"/>
    <mergeCell ref="B103:B106"/>
    <mergeCell ref="B107:B110"/>
    <mergeCell ref="B111:B114"/>
  </mergeCells>
  <phoneticPr fontId="1" type="noConversion"/>
  <conditionalFormatting sqref="I12:I14 I16:I18">
    <cfRule type="cellIs" dxfId="1199" priority="589" operator="greaterThan">
      <formula>0.03</formula>
    </cfRule>
    <cfRule type="cellIs" dxfId="1198" priority="590" stopIfTrue="1" operator="lessThan">
      <formula>-0.03</formula>
    </cfRule>
  </conditionalFormatting>
  <conditionalFormatting sqref="I12:I14 I16:I18">
    <cfRule type="cellIs" dxfId="1197" priority="587" operator="greaterThan">
      <formula>0.03</formula>
    </cfRule>
    <cfRule type="cellIs" dxfId="1196" priority="588" stopIfTrue="1" operator="lessThan">
      <formula>-0.03</formula>
    </cfRule>
  </conditionalFormatting>
  <conditionalFormatting sqref="I28:I30">
    <cfRule type="cellIs" dxfId="1195" priority="559" operator="greaterThan">
      <formula>0.03</formula>
    </cfRule>
    <cfRule type="cellIs" dxfId="1194" priority="560" stopIfTrue="1" operator="lessThan">
      <formula>-0.03</formula>
    </cfRule>
  </conditionalFormatting>
  <conditionalFormatting sqref="I28:I30">
    <cfRule type="cellIs" dxfId="1193" priority="557" operator="greaterThan">
      <formula>0.03</formula>
    </cfRule>
    <cfRule type="cellIs" dxfId="1192" priority="558" stopIfTrue="1" operator="lessThan">
      <formula>-0.03</formula>
    </cfRule>
  </conditionalFormatting>
  <conditionalFormatting sqref="I28:I30">
    <cfRule type="cellIs" dxfId="1191" priority="555" operator="greaterThan">
      <formula>0.03</formula>
    </cfRule>
    <cfRule type="cellIs" dxfId="1190" priority="556" stopIfTrue="1" operator="lessThan">
      <formula>-0.03</formula>
    </cfRule>
  </conditionalFormatting>
  <conditionalFormatting sqref="I28:I30">
    <cfRule type="cellIs" dxfId="1189" priority="553" operator="greaterThan">
      <formula>0.03</formula>
    </cfRule>
    <cfRule type="cellIs" dxfId="1188" priority="554" stopIfTrue="1" operator="lessThan">
      <formula>-0.03</formula>
    </cfRule>
  </conditionalFormatting>
  <conditionalFormatting sqref="I28:I30">
    <cfRule type="cellIs" dxfId="1187" priority="551" operator="greaterThan">
      <formula>0.03</formula>
    </cfRule>
    <cfRule type="cellIs" dxfId="1186" priority="552" stopIfTrue="1" operator="lessThan">
      <formula>-0.03</formula>
    </cfRule>
  </conditionalFormatting>
  <conditionalFormatting sqref="I20:I22">
    <cfRule type="cellIs" dxfId="1185" priority="595" operator="greaterThan">
      <formula>0.03</formula>
    </cfRule>
    <cfRule type="cellIs" dxfId="1184" priority="596" stopIfTrue="1" operator="lessThan">
      <formula>-0.03</formula>
    </cfRule>
  </conditionalFormatting>
  <conditionalFormatting sqref="I19">
    <cfRule type="cellIs" dxfId="1183" priority="569" operator="greaterThan">
      <formula>0.03</formula>
    </cfRule>
    <cfRule type="cellIs" dxfId="1182" priority="570" stopIfTrue="1" operator="lessThan">
      <formula>-0.03</formula>
    </cfRule>
  </conditionalFormatting>
  <conditionalFormatting sqref="I19">
    <cfRule type="cellIs" dxfId="1181" priority="567" operator="greaterThan">
      <formula>0.03</formula>
    </cfRule>
    <cfRule type="cellIs" dxfId="1180" priority="568" stopIfTrue="1" operator="lessThan">
      <formula>-0.03</formula>
    </cfRule>
  </conditionalFormatting>
  <conditionalFormatting sqref="I19">
    <cfRule type="cellIs" dxfId="1179" priority="565" operator="greaterThan">
      <formula>0.03</formula>
    </cfRule>
    <cfRule type="cellIs" dxfId="1178" priority="566" stopIfTrue="1" operator="lessThan">
      <formula>-0.03</formula>
    </cfRule>
  </conditionalFormatting>
  <conditionalFormatting sqref="I19">
    <cfRule type="cellIs" dxfId="1177" priority="563" operator="greaterThan">
      <formula>0.03</formula>
    </cfRule>
    <cfRule type="cellIs" dxfId="1176" priority="564" stopIfTrue="1" operator="lessThan">
      <formula>-0.03</formula>
    </cfRule>
  </conditionalFormatting>
  <conditionalFormatting sqref="I19">
    <cfRule type="cellIs" dxfId="1175" priority="561" operator="greaterThan">
      <formula>0.03</formula>
    </cfRule>
    <cfRule type="cellIs" dxfId="1174" priority="562" stopIfTrue="1" operator="lessThan">
      <formula>-0.03</formula>
    </cfRule>
  </conditionalFormatting>
  <conditionalFormatting sqref="I20:I22">
    <cfRule type="cellIs" dxfId="1173" priority="599" operator="greaterThan">
      <formula>0.03</formula>
    </cfRule>
    <cfRule type="cellIs" dxfId="1172" priority="600" stopIfTrue="1" operator="lessThan">
      <formula>-0.03</formula>
    </cfRule>
  </conditionalFormatting>
  <conditionalFormatting sqref="I20:I22">
    <cfRule type="cellIs" dxfId="1171" priority="597" operator="greaterThan">
      <formula>0.03</formula>
    </cfRule>
    <cfRule type="cellIs" dxfId="1170" priority="598" stopIfTrue="1" operator="lessThan">
      <formula>-0.03</formula>
    </cfRule>
  </conditionalFormatting>
  <conditionalFormatting sqref="I12:I14 I16:I18">
    <cfRule type="cellIs" dxfId="1169" priority="585" operator="greaterThan">
      <formula>0.03</formula>
    </cfRule>
    <cfRule type="cellIs" dxfId="1168" priority="586" stopIfTrue="1" operator="lessThan">
      <formula>-0.03</formula>
    </cfRule>
  </conditionalFormatting>
  <conditionalFormatting sqref="I20:I22">
    <cfRule type="cellIs" dxfId="1167" priority="593" operator="greaterThan">
      <formula>0.03</formula>
    </cfRule>
    <cfRule type="cellIs" dxfId="1166" priority="594" stopIfTrue="1" operator="lessThan">
      <formula>-0.03</formula>
    </cfRule>
  </conditionalFormatting>
  <conditionalFormatting sqref="I20:I22">
    <cfRule type="cellIs" dxfId="1165" priority="591" operator="greaterThan">
      <formula>0.03</formula>
    </cfRule>
    <cfRule type="cellIs" dxfId="1164" priority="592" stopIfTrue="1" operator="lessThan">
      <formula>-0.03</formula>
    </cfRule>
  </conditionalFormatting>
  <conditionalFormatting sqref="I12:I14 I16:I18">
    <cfRule type="cellIs" dxfId="1163" priority="581" operator="greaterThan">
      <formula>0.03</formula>
    </cfRule>
    <cfRule type="cellIs" dxfId="1162" priority="582" stopIfTrue="1" operator="lessThan">
      <formula>-0.03</formula>
    </cfRule>
  </conditionalFormatting>
  <conditionalFormatting sqref="I12:I14 I16:I18">
    <cfRule type="cellIs" dxfId="1161" priority="583" operator="greaterThan">
      <formula>0.03</formula>
    </cfRule>
    <cfRule type="cellIs" dxfId="1160" priority="584" stopIfTrue="1" operator="lessThan">
      <formula>-0.03</formula>
    </cfRule>
  </conditionalFormatting>
  <conditionalFormatting sqref="I11">
    <cfRule type="cellIs" dxfId="1159" priority="579" operator="greaterThan">
      <formula>0.03</formula>
    </cfRule>
    <cfRule type="cellIs" dxfId="1158" priority="580" stopIfTrue="1" operator="lessThan">
      <formula>-0.03</formula>
    </cfRule>
  </conditionalFormatting>
  <conditionalFormatting sqref="I11">
    <cfRule type="cellIs" dxfId="1157" priority="577" operator="greaterThan">
      <formula>0.03</formula>
    </cfRule>
    <cfRule type="cellIs" dxfId="1156" priority="578" stopIfTrue="1" operator="lessThan">
      <formula>-0.03</formula>
    </cfRule>
  </conditionalFormatting>
  <conditionalFormatting sqref="I11">
    <cfRule type="cellIs" dxfId="1155" priority="575" operator="greaterThan">
      <formula>0.03</formula>
    </cfRule>
    <cfRule type="cellIs" dxfId="1154" priority="576" stopIfTrue="1" operator="lessThan">
      <formula>-0.03</formula>
    </cfRule>
  </conditionalFormatting>
  <conditionalFormatting sqref="I11">
    <cfRule type="cellIs" dxfId="1153" priority="573" operator="greaterThan">
      <formula>0.03</formula>
    </cfRule>
    <cfRule type="cellIs" dxfId="1152" priority="574" stopIfTrue="1" operator="lessThan">
      <formula>-0.03</formula>
    </cfRule>
  </conditionalFormatting>
  <conditionalFormatting sqref="I11">
    <cfRule type="cellIs" dxfId="1151" priority="571" operator="greaterThan">
      <formula>0.03</formula>
    </cfRule>
    <cfRule type="cellIs" dxfId="1150" priority="572" stopIfTrue="1" operator="lessThan">
      <formula>-0.03</formula>
    </cfRule>
  </conditionalFormatting>
  <conditionalFormatting sqref="I24:I26">
    <cfRule type="cellIs" dxfId="1149" priority="549" operator="greaterThan">
      <formula>0.03</formula>
    </cfRule>
    <cfRule type="cellIs" dxfId="1148" priority="550" stopIfTrue="1" operator="lessThan">
      <formula>-0.03</formula>
    </cfRule>
  </conditionalFormatting>
  <conditionalFormatting sqref="I24:I26">
    <cfRule type="cellIs" dxfId="1147" priority="547" operator="greaterThan">
      <formula>0.03</formula>
    </cfRule>
    <cfRule type="cellIs" dxfId="1146" priority="548" stopIfTrue="1" operator="lessThan">
      <formula>-0.03</formula>
    </cfRule>
  </conditionalFormatting>
  <conditionalFormatting sqref="I27">
    <cfRule type="cellIs" dxfId="1145" priority="529" operator="greaterThan">
      <formula>0.03</formula>
    </cfRule>
    <cfRule type="cellIs" dxfId="1144" priority="530" stopIfTrue="1" operator="lessThan">
      <formula>-0.03</formula>
    </cfRule>
  </conditionalFormatting>
  <conditionalFormatting sqref="I27">
    <cfRule type="cellIs" dxfId="1143" priority="527" operator="greaterThan">
      <formula>0.03</formula>
    </cfRule>
    <cfRule type="cellIs" dxfId="1142" priority="528" stopIfTrue="1" operator="lessThan">
      <formula>-0.03</formula>
    </cfRule>
  </conditionalFormatting>
  <conditionalFormatting sqref="I27">
    <cfRule type="cellIs" dxfId="1141" priority="525" operator="greaterThan">
      <formula>0.03</formula>
    </cfRule>
    <cfRule type="cellIs" dxfId="1140" priority="526" stopIfTrue="1" operator="lessThan">
      <formula>-0.03</formula>
    </cfRule>
  </conditionalFormatting>
  <conditionalFormatting sqref="I27">
    <cfRule type="cellIs" dxfId="1139" priority="523" operator="greaterThan">
      <formula>0.03</formula>
    </cfRule>
    <cfRule type="cellIs" dxfId="1138" priority="524" stopIfTrue="1" operator="lessThan">
      <formula>-0.03</formula>
    </cfRule>
  </conditionalFormatting>
  <conditionalFormatting sqref="I27">
    <cfRule type="cellIs" dxfId="1137" priority="521" operator="greaterThan">
      <formula>0.03</formula>
    </cfRule>
    <cfRule type="cellIs" dxfId="1136" priority="522" stopIfTrue="1" operator="lessThan">
      <formula>-0.03</formula>
    </cfRule>
  </conditionalFormatting>
  <conditionalFormatting sqref="I24:I26">
    <cfRule type="cellIs" dxfId="1135" priority="545" operator="greaterThan">
      <formula>0.03</formula>
    </cfRule>
    <cfRule type="cellIs" dxfId="1134" priority="546" stopIfTrue="1" operator="lessThan">
      <formula>-0.03</formula>
    </cfRule>
  </conditionalFormatting>
  <conditionalFormatting sqref="I24:I26">
    <cfRule type="cellIs" dxfId="1133" priority="541" operator="greaterThan">
      <formula>0.03</formula>
    </cfRule>
    <cfRule type="cellIs" dxfId="1132" priority="542" stopIfTrue="1" operator="lessThan">
      <formula>-0.03</formula>
    </cfRule>
  </conditionalFormatting>
  <conditionalFormatting sqref="I24:I26">
    <cfRule type="cellIs" dxfId="1131" priority="543" operator="greaterThan">
      <formula>0.03</formula>
    </cfRule>
    <cfRule type="cellIs" dxfId="1130" priority="544" stopIfTrue="1" operator="lessThan">
      <formula>-0.03</formula>
    </cfRule>
  </conditionalFormatting>
  <conditionalFormatting sqref="I23">
    <cfRule type="cellIs" dxfId="1129" priority="539" operator="greaterThan">
      <formula>0.03</formula>
    </cfRule>
    <cfRule type="cellIs" dxfId="1128" priority="540" stopIfTrue="1" operator="lessThan">
      <formula>-0.03</formula>
    </cfRule>
  </conditionalFormatting>
  <conditionalFormatting sqref="I23">
    <cfRule type="cellIs" dxfId="1127" priority="537" operator="greaterThan">
      <formula>0.03</formula>
    </cfRule>
    <cfRule type="cellIs" dxfId="1126" priority="538" stopIfTrue="1" operator="lessThan">
      <formula>-0.03</formula>
    </cfRule>
  </conditionalFormatting>
  <conditionalFormatting sqref="I23">
    <cfRule type="cellIs" dxfId="1125" priority="535" operator="greaterThan">
      <formula>0.03</formula>
    </cfRule>
    <cfRule type="cellIs" dxfId="1124" priority="536" stopIfTrue="1" operator="lessThan">
      <formula>-0.03</formula>
    </cfRule>
  </conditionalFormatting>
  <conditionalFormatting sqref="I23">
    <cfRule type="cellIs" dxfId="1123" priority="533" operator="greaterThan">
      <formula>0.03</formula>
    </cfRule>
    <cfRule type="cellIs" dxfId="1122" priority="534" stopIfTrue="1" operator="lessThan">
      <formula>-0.03</formula>
    </cfRule>
  </conditionalFormatting>
  <conditionalFormatting sqref="I23">
    <cfRule type="cellIs" dxfId="1121" priority="531" operator="greaterThan">
      <formula>0.03</formula>
    </cfRule>
    <cfRule type="cellIs" dxfId="1120" priority="532" stopIfTrue="1" operator="lessThan">
      <formula>-0.03</formula>
    </cfRule>
  </conditionalFormatting>
  <conditionalFormatting sqref="I44:I46">
    <cfRule type="cellIs" dxfId="1119" priority="519" operator="greaterThan">
      <formula>0.03</formula>
    </cfRule>
    <cfRule type="cellIs" dxfId="1118" priority="520" stopIfTrue="1" operator="lessThan">
      <formula>-0.03</formula>
    </cfRule>
  </conditionalFormatting>
  <conditionalFormatting sqref="I44:I46">
    <cfRule type="cellIs" dxfId="1117" priority="517" operator="greaterThan">
      <formula>0.03</formula>
    </cfRule>
    <cfRule type="cellIs" dxfId="1116" priority="518" stopIfTrue="1" operator="lessThan">
      <formula>-0.03</formula>
    </cfRule>
  </conditionalFormatting>
  <conditionalFormatting sqref="I44:I46">
    <cfRule type="cellIs" dxfId="1115" priority="515" operator="greaterThan">
      <formula>0.03</formula>
    </cfRule>
    <cfRule type="cellIs" dxfId="1114" priority="516" stopIfTrue="1" operator="lessThan">
      <formula>-0.03</formula>
    </cfRule>
  </conditionalFormatting>
  <conditionalFormatting sqref="I44:I46">
    <cfRule type="cellIs" dxfId="1113" priority="513" operator="greaterThan">
      <formula>0.03</formula>
    </cfRule>
    <cfRule type="cellIs" dxfId="1112" priority="514" stopIfTrue="1" operator="lessThan">
      <formula>-0.03</formula>
    </cfRule>
  </conditionalFormatting>
  <conditionalFormatting sqref="I44:I46">
    <cfRule type="cellIs" dxfId="1111" priority="511" operator="greaterThan">
      <formula>0.03</formula>
    </cfRule>
    <cfRule type="cellIs" dxfId="1110" priority="512" stopIfTrue="1" operator="lessThan">
      <formula>-0.03</formula>
    </cfRule>
  </conditionalFormatting>
  <conditionalFormatting sqref="I40:I42">
    <cfRule type="cellIs" dxfId="1109" priority="509" operator="greaterThan">
      <formula>0.03</formula>
    </cfRule>
    <cfRule type="cellIs" dxfId="1108" priority="510" stopIfTrue="1" operator="lessThan">
      <formula>-0.03</formula>
    </cfRule>
  </conditionalFormatting>
  <conditionalFormatting sqref="I40:I42">
    <cfRule type="cellIs" dxfId="1107" priority="507" operator="greaterThan">
      <formula>0.03</formula>
    </cfRule>
    <cfRule type="cellIs" dxfId="1106" priority="508" stopIfTrue="1" operator="lessThan">
      <formula>-0.03</formula>
    </cfRule>
  </conditionalFormatting>
  <conditionalFormatting sqref="I43">
    <cfRule type="cellIs" dxfId="1105" priority="489" operator="greaterThan">
      <formula>0.03</formula>
    </cfRule>
    <cfRule type="cellIs" dxfId="1104" priority="490" stopIfTrue="1" operator="lessThan">
      <formula>-0.03</formula>
    </cfRule>
  </conditionalFormatting>
  <conditionalFormatting sqref="I43">
    <cfRule type="cellIs" dxfId="1103" priority="487" operator="greaterThan">
      <formula>0.03</formula>
    </cfRule>
    <cfRule type="cellIs" dxfId="1102" priority="488" stopIfTrue="1" operator="lessThan">
      <formula>-0.03</formula>
    </cfRule>
  </conditionalFormatting>
  <conditionalFormatting sqref="I43">
    <cfRule type="cellIs" dxfId="1101" priority="485" operator="greaterThan">
      <formula>0.03</formula>
    </cfRule>
    <cfRule type="cellIs" dxfId="1100" priority="486" stopIfTrue="1" operator="lessThan">
      <formula>-0.03</formula>
    </cfRule>
  </conditionalFormatting>
  <conditionalFormatting sqref="I43">
    <cfRule type="cellIs" dxfId="1099" priority="483" operator="greaterThan">
      <formula>0.03</formula>
    </cfRule>
    <cfRule type="cellIs" dxfId="1098" priority="484" stopIfTrue="1" operator="lessThan">
      <formula>-0.03</formula>
    </cfRule>
  </conditionalFormatting>
  <conditionalFormatting sqref="I43">
    <cfRule type="cellIs" dxfId="1097" priority="481" operator="greaterThan">
      <formula>0.03</formula>
    </cfRule>
    <cfRule type="cellIs" dxfId="1096" priority="482" stopIfTrue="1" operator="lessThan">
      <formula>-0.03</formula>
    </cfRule>
  </conditionalFormatting>
  <conditionalFormatting sqref="I40:I42">
    <cfRule type="cellIs" dxfId="1095" priority="505" operator="greaterThan">
      <formula>0.03</formula>
    </cfRule>
    <cfRule type="cellIs" dxfId="1094" priority="506" stopIfTrue="1" operator="lessThan">
      <formula>-0.03</formula>
    </cfRule>
  </conditionalFormatting>
  <conditionalFormatting sqref="I40:I42">
    <cfRule type="cellIs" dxfId="1093" priority="501" operator="greaterThan">
      <formula>0.03</formula>
    </cfRule>
    <cfRule type="cellIs" dxfId="1092" priority="502" stopIfTrue="1" operator="lessThan">
      <formula>-0.03</formula>
    </cfRule>
  </conditionalFormatting>
  <conditionalFormatting sqref="I40:I42">
    <cfRule type="cellIs" dxfId="1091" priority="503" operator="greaterThan">
      <formula>0.03</formula>
    </cfRule>
    <cfRule type="cellIs" dxfId="1090" priority="504" stopIfTrue="1" operator="lessThan">
      <formula>-0.03</formula>
    </cfRule>
  </conditionalFormatting>
  <conditionalFormatting sqref="I39">
    <cfRule type="cellIs" dxfId="1089" priority="499" operator="greaterThan">
      <formula>0.03</formula>
    </cfRule>
    <cfRule type="cellIs" dxfId="1088" priority="500" stopIfTrue="1" operator="lessThan">
      <formula>-0.03</formula>
    </cfRule>
  </conditionalFormatting>
  <conditionalFormatting sqref="I39">
    <cfRule type="cellIs" dxfId="1087" priority="497" operator="greaterThan">
      <formula>0.03</formula>
    </cfRule>
    <cfRule type="cellIs" dxfId="1086" priority="498" stopIfTrue="1" operator="lessThan">
      <formula>-0.03</formula>
    </cfRule>
  </conditionalFormatting>
  <conditionalFormatting sqref="I39">
    <cfRule type="cellIs" dxfId="1085" priority="495" operator="greaterThan">
      <formula>0.03</formula>
    </cfRule>
    <cfRule type="cellIs" dxfId="1084" priority="496" stopIfTrue="1" operator="lessThan">
      <formula>-0.03</formula>
    </cfRule>
  </conditionalFormatting>
  <conditionalFormatting sqref="I39">
    <cfRule type="cellIs" dxfId="1083" priority="493" operator="greaterThan">
      <formula>0.03</formula>
    </cfRule>
    <cfRule type="cellIs" dxfId="1082" priority="494" stopIfTrue="1" operator="lessThan">
      <formula>-0.03</formula>
    </cfRule>
  </conditionalFormatting>
  <conditionalFormatting sqref="I39">
    <cfRule type="cellIs" dxfId="1081" priority="491" operator="greaterThan">
      <formula>0.03</formula>
    </cfRule>
    <cfRule type="cellIs" dxfId="1080" priority="492" stopIfTrue="1" operator="lessThan">
      <formula>-0.03</formula>
    </cfRule>
  </conditionalFormatting>
  <conditionalFormatting sqref="I64:I66">
    <cfRule type="cellIs" dxfId="1079" priority="479" operator="greaterThan">
      <formula>0.03</formula>
    </cfRule>
    <cfRule type="cellIs" dxfId="1078" priority="480" stopIfTrue="1" operator="lessThan">
      <formula>-0.03</formula>
    </cfRule>
  </conditionalFormatting>
  <conditionalFormatting sqref="I64:I66">
    <cfRule type="cellIs" dxfId="1077" priority="477" operator="greaterThan">
      <formula>0.03</formula>
    </cfRule>
    <cfRule type="cellIs" dxfId="1076" priority="478" stopIfTrue="1" operator="lessThan">
      <formula>-0.03</formula>
    </cfRule>
  </conditionalFormatting>
  <conditionalFormatting sqref="I64:I66">
    <cfRule type="cellIs" dxfId="1075" priority="475" operator="greaterThan">
      <formula>0.03</formula>
    </cfRule>
    <cfRule type="cellIs" dxfId="1074" priority="476" stopIfTrue="1" operator="lessThan">
      <formula>-0.03</formula>
    </cfRule>
  </conditionalFormatting>
  <conditionalFormatting sqref="I64:I66">
    <cfRule type="cellIs" dxfId="1073" priority="473" operator="greaterThan">
      <formula>0.03</formula>
    </cfRule>
    <cfRule type="cellIs" dxfId="1072" priority="474" stopIfTrue="1" operator="lessThan">
      <formula>-0.03</formula>
    </cfRule>
  </conditionalFormatting>
  <conditionalFormatting sqref="I64:I66">
    <cfRule type="cellIs" dxfId="1071" priority="471" operator="greaterThan">
      <formula>0.03</formula>
    </cfRule>
    <cfRule type="cellIs" dxfId="1070" priority="472" stopIfTrue="1" operator="lessThan">
      <formula>-0.03</formula>
    </cfRule>
  </conditionalFormatting>
  <conditionalFormatting sqref="I56:I58">
    <cfRule type="cellIs" dxfId="1069" priority="469" operator="greaterThan">
      <formula>0.03</formula>
    </cfRule>
    <cfRule type="cellIs" dxfId="1068" priority="470" stopIfTrue="1" operator="lessThan">
      <formula>-0.03</formula>
    </cfRule>
  </conditionalFormatting>
  <conditionalFormatting sqref="I56:I58">
    <cfRule type="cellIs" dxfId="1067" priority="467" operator="greaterThan">
      <formula>0.03</formula>
    </cfRule>
    <cfRule type="cellIs" dxfId="1066" priority="468" stopIfTrue="1" operator="lessThan">
      <formula>-0.03</formula>
    </cfRule>
  </conditionalFormatting>
  <conditionalFormatting sqref="I63">
    <cfRule type="cellIs" dxfId="1065" priority="449" operator="greaterThan">
      <formula>0.03</formula>
    </cfRule>
    <cfRule type="cellIs" dxfId="1064" priority="450" stopIfTrue="1" operator="lessThan">
      <formula>-0.03</formula>
    </cfRule>
  </conditionalFormatting>
  <conditionalFormatting sqref="I63">
    <cfRule type="cellIs" dxfId="1063" priority="447" operator="greaterThan">
      <formula>0.03</formula>
    </cfRule>
    <cfRule type="cellIs" dxfId="1062" priority="448" stopIfTrue="1" operator="lessThan">
      <formula>-0.03</formula>
    </cfRule>
  </conditionalFormatting>
  <conditionalFormatting sqref="I63">
    <cfRule type="cellIs" dxfId="1061" priority="445" operator="greaterThan">
      <formula>0.03</formula>
    </cfRule>
    <cfRule type="cellIs" dxfId="1060" priority="446" stopIfTrue="1" operator="lessThan">
      <formula>-0.03</formula>
    </cfRule>
  </conditionalFormatting>
  <conditionalFormatting sqref="I63">
    <cfRule type="cellIs" dxfId="1059" priority="443" operator="greaterThan">
      <formula>0.03</formula>
    </cfRule>
    <cfRule type="cellIs" dxfId="1058" priority="444" stopIfTrue="1" operator="lessThan">
      <formula>-0.03</formula>
    </cfRule>
  </conditionalFormatting>
  <conditionalFormatting sqref="I63">
    <cfRule type="cellIs" dxfId="1057" priority="441" operator="greaterThan">
      <formula>0.03</formula>
    </cfRule>
    <cfRule type="cellIs" dxfId="1056" priority="442" stopIfTrue="1" operator="lessThan">
      <formula>-0.03</formula>
    </cfRule>
  </conditionalFormatting>
  <conditionalFormatting sqref="I56:I58">
    <cfRule type="cellIs" dxfId="1055" priority="465" operator="greaterThan">
      <formula>0.03</formula>
    </cfRule>
    <cfRule type="cellIs" dxfId="1054" priority="466" stopIfTrue="1" operator="lessThan">
      <formula>-0.03</formula>
    </cfRule>
  </conditionalFormatting>
  <conditionalFormatting sqref="I56:I58">
    <cfRule type="cellIs" dxfId="1053" priority="461" operator="greaterThan">
      <formula>0.03</formula>
    </cfRule>
    <cfRule type="cellIs" dxfId="1052" priority="462" stopIfTrue="1" operator="lessThan">
      <formula>-0.03</formula>
    </cfRule>
  </conditionalFormatting>
  <conditionalFormatting sqref="I56:I58">
    <cfRule type="cellIs" dxfId="1051" priority="463" operator="greaterThan">
      <formula>0.03</formula>
    </cfRule>
    <cfRule type="cellIs" dxfId="1050" priority="464" stopIfTrue="1" operator="lessThan">
      <formula>-0.03</formula>
    </cfRule>
  </conditionalFormatting>
  <conditionalFormatting sqref="I55">
    <cfRule type="cellIs" dxfId="1049" priority="459" operator="greaterThan">
      <formula>0.03</formula>
    </cfRule>
    <cfRule type="cellIs" dxfId="1048" priority="460" stopIfTrue="1" operator="lessThan">
      <formula>-0.03</formula>
    </cfRule>
  </conditionalFormatting>
  <conditionalFormatting sqref="I55">
    <cfRule type="cellIs" dxfId="1047" priority="457" operator="greaterThan">
      <formula>0.03</formula>
    </cfRule>
    <cfRule type="cellIs" dxfId="1046" priority="458" stopIfTrue="1" operator="lessThan">
      <formula>-0.03</formula>
    </cfRule>
  </conditionalFormatting>
  <conditionalFormatting sqref="I55">
    <cfRule type="cellIs" dxfId="1045" priority="455" operator="greaterThan">
      <formula>0.03</formula>
    </cfRule>
    <cfRule type="cellIs" dxfId="1044" priority="456" stopIfTrue="1" operator="lessThan">
      <formula>-0.03</formula>
    </cfRule>
  </conditionalFormatting>
  <conditionalFormatting sqref="I55">
    <cfRule type="cellIs" dxfId="1043" priority="453" operator="greaterThan">
      <formula>0.03</formula>
    </cfRule>
    <cfRule type="cellIs" dxfId="1042" priority="454" stopIfTrue="1" operator="lessThan">
      <formula>-0.03</formula>
    </cfRule>
  </conditionalFormatting>
  <conditionalFormatting sqref="I55">
    <cfRule type="cellIs" dxfId="1041" priority="451" operator="greaterThan">
      <formula>0.03</formula>
    </cfRule>
    <cfRule type="cellIs" dxfId="1040" priority="452" stopIfTrue="1" operator="lessThan">
      <formula>-0.03</formula>
    </cfRule>
  </conditionalFormatting>
  <conditionalFormatting sqref="I36:I38">
    <cfRule type="cellIs" dxfId="1039" priority="439" operator="greaterThan">
      <formula>0.03</formula>
    </cfRule>
    <cfRule type="cellIs" dxfId="1038" priority="440" stopIfTrue="1" operator="lessThan">
      <formula>-0.03</formula>
    </cfRule>
  </conditionalFormatting>
  <conditionalFormatting sqref="I36:I38">
    <cfRule type="cellIs" dxfId="1037" priority="437" operator="greaterThan">
      <formula>0.03</formula>
    </cfRule>
    <cfRule type="cellIs" dxfId="1036" priority="438" stopIfTrue="1" operator="lessThan">
      <formula>-0.03</formula>
    </cfRule>
  </conditionalFormatting>
  <conditionalFormatting sqref="I36:I38">
    <cfRule type="cellIs" dxfId="1035" priority="435" operator="greaterThan">
      <formula>0.03</formula>
    </cfRule>
    <cfRule type="cellIs" dxfId="1034" priority="436" stopIfTrue="1" operator="lessThan">
      <formula>-0.03</formula>
    </cfRule>
  </conditionalFormatting>
  <conditionalFormatting sqref="I36:I38">
    <cfRule type="cellIs" dxfId="1033" priority="433" operator="greaterThan">
      <formula>0.03</formula>
    </cfRule>
    <cfRule type="cellIs" dxfId="1032" priority="434" stopIfTrue="1" operator="lessThan">
      <formula>-0.03</formula>
    </cfRule>
  </conditionalFormatting>
  <conditionalFormatting sqref="I36:I38">
    <cfRule type="cellIs" dxfId="1031" priority="431" operator="greaterThan">
      <formula>0.03</formula>
    </cfRule>
    <cfRule type="cellIs" dxfId="1030" priority="432" stopIfTrue="1" operator="lessThan">
      <formula>-0.03</formula>
    </cfRule>
  </conditionalFormatting>
  <conditionalFormatting sqref="I32:I34">
    <cfRule type="cellIs" dxfId="1029" priority="429" operator="greaterThan">
      <formula>0.03</formula>
    </cfRule>
    <cfRule type="cellIs" dxfId="1028" priority="430" stopIfTrue="1" operator="lessThan">
      <formula>-0.03</formula>
    </cfRule>
  </conditionalFormatting>
  <conditionalFormatting sqref="I32:I34">
    <cfRule type="cellIs" dxfId="1027" priority="427" operator="greaterThan">
      <formula>0.03</formula>
    </cfRule>
    <cfRule type="cellIs" dxfId="1026" priority="428" stopIfTrue="1" operator="lessThan">
      <formula>-0.03</formula>
    </cfRule>
  </conditionalFormatting>
  <conditionalFormatting sqref="I35">
    <cfRule type="cellIs" dxfId="1025" priority="409" operator="greaterThan">
      <formula>0.03</formula>
    </cfRule>
    <cfRule type="cellIs" dxfId="1024" priority="410" stopIfTrue="1" operator="lessThan">
      <formula>-0.03</formula>
    </cfRule>
  </conditionalFormatting>
  <conditionalFormatting sqref="I35">
    <cfRule type="cellIs" dxfId="1023" priority="407" operator="greaterThan">
      <formula>0.03</formula>
    </cfRule>
    <cfRule type="cellIs" dxfId="1022" priority="408" stopIfTrue="1" operator="lessThan">
      <formula>-0.03</formula>
    </cfRule>
  </conditionalFormatting>
  <conditionalFormatting sqref="I35">
    <cfRule type="cellIs" dxfId="1021" priority="405" operator="greaterThan">
      <formula>0.03</formula>
    </cfRule>
    <cfRule type="cellIs" dxfId="1020" priority="406" stopIfTrue="1" operator="lessThan">
      <formula>-0.03</formula>
    </cfRule>
  </conditionalFormatting>
  <conditionalFormatting sqref="I35">
    <cfRule type="cellIs" dxfId="1019" priority="403" operator="greaterThan">
      <formula>0.03</formula>
    </cfRule>
    <cfRule type="cellIs" dxfId="1018" priority="404" stopIfTrue="1" operator="lessThan">
      <formula>-0.03</formula>
    </cfRule>
  </conditionalFormatting>
  <conditionalFormatting sqref="I35">
    <cfRule type="cellIs" dxfId="1017" priority="401" operator="greaterThan">
      <formula>0.03</formula>
    </cfRule>
    <cfRule type="cellIs" dxfId="1016" priority="402" stopIfTrue="1" operator="lessThan">
      <formula>-0.03</formula>
    </cfRule>
  </conditionalFormatting>
  <conditionalFormatting sqref="I32:I34">
    <cfRule type="cellIs" dxfId="1015" priority="425" operator="greaterThan">
      <formula>0.03</formula>
    </cfRule>
    <cfRule type="cellIs" dxfId="1014" priority="426" stopIfTrue="1" operator="lessThan">
      <formula>-0.03</formula>
    </cfRule>
  </conditionalFormatting>
  <conditionalFormatting sqref="I32:I34">
    <cfRule type="cellIs" dxfId="1013" priority="421" operator="greaterThan">
      <formula>0.03</formula>
    </cfRule>
    <cfRule type="cellIs" dxfId="1012" priority="422" stopIfTrue="1" operator="lessThan">
      <formula>-0.03</formula>
    </cfRule>
  </conditionalFormatting>
  <conditionalFormatting sqref="I32:I34">
    <cfRule type="cellIs" dxfId="1011" priority="423" operator="greaterThan">
      <formula>0.03</formula>
    </cfRule>
    <cfRule type="cellIs" dxfId="1010" priority="424" stopIfTrue="1" operator="lessThan">
      <formula>-0.03</formula>
    </cfRule>
  </conditionalFormatting>
  <conditionalFormatting sqref="I31">
    <cfRule type="cellIs" dxfId="1009" priority="419" operator="greaterThan">
      <formula>0.03</formula>
    </cfRule>
    <cfRule type="cellIs" dxfId="1008" priority="420" stopIfTrue="1" operator="lessThan">
      <formula>-0.03</formula>
    </cfRule>
  </conditionalFormatting>
  <conditionalFormatting sqref="I31">
    <cfRule type="cellIs" dxfId="1007" priority="417" operator="greaterThan">
      <formula>0.03</formula>
    </cfRule>
    <cfRule type="cellIs" dxfId="1006" priority="418" stopIfTrue="1" operator="lessThan">
      <formula>-0.03</formula>
    </cfRule>
  </conditionalFormatting>
  <conditionalFormatting sqref="I31">
    <cfRule type="cellIs" dxfId="1005" priority="415" operator="greaterThan">
      <formula>0.03</formula>
    </cfRule>
    <cfRule type="cellIs" dxfId="1004" priority="416" stopIfTrue="1" operator="lessThan">
      <formula>-0.03</formula>
    </cfRule>
  </conditionalFormatting>
  <conditionalFormatting sqref="I31">
    <cfRule type="cellIs" dxfId="1003" priority="413" operator="greaterThan">
      <formula>0.03</formula>
    </cfRule>
    <cfRule type="cellIs" dxfId="1002" priority="414" stopIfTrue="1" operator="lessThan">
      <formula>-0.03</formula>
    </cfRule>
  </conditionalFormatting>
  <conditionalFormatting sqref="I31">
    <cfRule type="cellIs" dxfId="1001" priority="411" operator="greaterThan">
      <formula>0.03</formula>
    </cfRule>
    <cfRule type="cellIs" dxfId="1000" priority="412" stopIfTrue="1" operator="lessThan">
      <formula>-0.03</formula>
    </cfRule>
  </conditionalFormatting>
  <conditionalFormatting sqref="I52:I54">
    <cfRule type="cellIs" dxfId="999" priority="399" operator="greaterThan">
      <formula>0.03</formula>
    </cfRule>
    <cfRule type="cellIs" dxfId="998" priority="400" stopIfTrue="1" operator="lessThan">
      <formula>-0.03</formula>
    </cfRule>
  </conditionalFormatting>
  <conditionalFormatting sqref="I52:I54">
    <cfRule type="cellIs" dxfId="997" priority="397" operator="greaterThan">
      <formula>0.03</formula>
    </cfRule>
    <cfRule type="cellIs" dxfId="996" priority="398" stopIfTrue="1" operator="lessThan">
      <formula>-0.03</formula>
    </cfRule>
  </conditionalFormatting>
  <conditionalFormatting sqref="I52:I54">
    <cfRule type="cellIs" dxfId="995" priority="395" operator="greaterThan">
      <formula>0.03</formula>
    </cfRule>
    <cfRule type="cellIs" dxfId="994" priority="396" stopIfTrue="1" operator="lessThan">
      <formula>-0.03</formula>
    </cfRule>
  </conditionalFormatting>
  <conditionalFormatting sqref="I52:I54">
    <cfRule type="cellIs" dxfId="993" priority="393" operator="greaterThan">
      <formula>0.03</formula>
    </cfRule>
    <cfRule type="cellIs" dxfId="992" priority="394" stopIfTrue="1" operator="lessThan">
      <formula>-0.03</formula>
    </cfRule>
  </conditionalFormatting>
  <conditionalFormatting sqref="I52:I54">
    <cfRule type="cellIs" dxfId="991" priority="391" operator="greaterThan">
      <formula>0.03</formula>
    </cfRule>
    <cfRule type="cellIs" dxfId="990" priority="392" stopIfTrue="1" operator="lessThan">
      <formula>-0.03</formula>
    </cfRule>
  </conditionalFormatting>
  <conditionalFormatting sqref="I48:I50">
    <cfRule type="cellIs" dxfId="989" priority="389" operator="greaterThan">
      <formula>0.03</formula>
    </cfRule>
    <cfRule type="cellIs" dxfId="988" priority="390" stopIfTrue="1" operator="lessThan">
      <formula>-0.03</formula>
    </cfRule>
  </conditionalFormatting>
  <conditionalFormatting sqref="I48:I50">
    <cfRule type="cellIs" dxfId="987" priority="387" operator="greaterThan">
      <formula>0.03</formula>
    </cfRule>
    <cfRule type="cellIs" dxfId="986" priority="388" stopIfTrue="1" operator="lessThan">
      <formula>-0.03</formula>
    </cfRule>
  </conditionalFormatting>
  <conditionalFormatting sqref="I51">
    <cfRule type="cellIs" dxfId="985" priority="369" operator="greaterThan">
      <formula>0.03</formula>
    </cfRule>
    <cfRule type="cellIs" dxfId="984" priority="370" stopIfTrue="1" operator="lessThan">
      <formula>-0.03</formula>
    </cfRule>
  </conditionalFormatting>
  <conditionalFormatting sqref="I51">
    <cfRule type="cellIs" dxfId="983" priority="367" operator="greaterThan">
      <formula>0.03</formula>
    </cfRule>
    <cfRule type="cellIs" dxfId="982" priority="368" stopIfTrue="1" operator="lessThan">
      <formula>-0.03</formula>
    </cfRule>
  </conditionalFormatting>
  <conditionalFormatting sqref="I51">
    <cfRule type="cellIs" dxfId="981" priority="365" operator="greaterThan">
      <formula>0.03</formula>
    </cfRule>
    <cfRule type="cellIs" dxfId="980" priority="366" stopIfTrue="1" operator="lessThan">
      <formula>-0.03</formula>
    </cfRule>
  </conditionalFormatting>
  <conditionalFormatting sqref="I51">
    <cfRule type="cellIs" dxfId="979" priority="363" operator="greaterThan">
      <formula>0.03</formula>
    </cfRule>
    <cfRule type="cellIs" dxfId="978" priority="364" stopIfTrue="1" operator="lessThan">
      <formula>-0.03</formula>
    </cfRule>
  </conditionalFormatting>
  <conditionalFormatting sqref="I51">
    <cfRule type="cellIs" dxfId="977" priority="361" operator="greaterThan">
      <formula>0.03</formula>
    </cfRule>
    <cfRule type="cellIs" dxfId="976" priority="362" stopIfTrue="1" operator="lessThan">
      <formula>-0.03</formula>
    </cfRule>
  </conditionalFormatting>
  <conditionalFormatting sqref="I48:I50">
    <cfRule type="cellIs" dxfId="975" priority="385" operator="greaterThan">
      <formula>0.03</formula>
    </cfRule>
    <cfRule type="cellIs" dxfId="974" priority="386" stopIfTrue="1" operator="lessThan">
      <formula>-0.03</formula>
    </cfRule>
  </conditionalFormatting>
  <conditionalFormatting sqref="I48:I50">
    <cfRule type="cellIs" dxfId="973" priority="381" operator="greaterThan">
      <formula>0.03</formula>
    </cfRule>
    <cfRule type="cellIs" dxfId="972" priority="382" stopIfTrue="1" operator="lessThan">
      <formula>-0.03</formula>
    </cfRule>
  </conditionalFormatting>
  <conditionalFormatting sqref="I48:I50">
    <cfRule type="cellIs" dxfId="971" priority="383" operator="greaterThan">
      <formula>0.03</formula>
    </cfRule>
    <cfRule type="cellIs" dxfId="970" priority="384" stopIfTrue="1" operator="lessThan">
      <formula>-0.03</formula>
    </cfRule>
  </conditionalFormatting>
  <conditionalFormatting sqref="I47">
    <cfRule type="cellIs" dxfId="969" priority="379" operator="greaterThan">
      <formula>0.03</formula>
    </cfRule>
    <cfRule type="cellIs" dxfId="968" priority="380" stopIfTrue="1" operator="lessThan">
      <formula>-0.03</formula>
    </cfRule>
  </conditionalFormatting>
  <conditionalFormatting sqref="I47">
    <cfRule type="cellIs" dxfId="967" priority="377" operator="greaterThan">
      <formula>0.03</formula>
    </cfRule>
    <cfRule type="cellIs" dxfId="966" priority="378" stopIfTrue="1" operator="lessThan">
      <formula>-0.03</formula>
    </cfRule>
  </conditionalFormatting>
  <conditionalFormatting sqref="I47">
    <cfRule type="cellIs" dxfId="965" priority="375" operator="greaterThan">
      <formula>0.03</formula>
    </cfRule>
    <cfRule type="cellIs" dxfId="964" priority="376" stopIfTrue="1" operator="lessThan">
      <formula>-0.03</formula>
    </cfRule>
  </conditionalFormatting>
  <conditionalFormatting sqref="I47">
    <cfRule type="cellIs" dxfId="963" priority="373" operator="greaterThan">
      <formula>0.03</formula>
    </cfRule>
    <cfRule type="cellIs" dxfId="962" priority="374" stopIfTrue="1" operator="lessThan">
      <formula>-0.03</formula>
    </cfRule>
  </conditionalFormatting>
  <conditionalFormatting sqref="I47">
    <cfRule type="cellIs" dxfId="961" priority="371" operator="greaterThan">
      <formula>0.03</formula>
    </cfRule>
    <cfRule type="cellIs" dxfId="960" priority="372" stopIfTrue="1" operator="lessThan">
      <formula>-0.03</formula>
    </cfRule>
  </conditionalFormatting>
  <conditionalFormatting sqref="I60:I62">
    <cfRule type="cellIs" dxfId="959" priority="359" operator="greaterThan">
      <formula>0.03</formula>
    </cfRule>
    <cfRule type="cellIs" dxfId="958" priority="360" stopIfTrue="1" operator="lessThan">
      <formula>-0.03</formula>
    </cfRule>
  </conditionalFormatting>
  <conditionalFormatting sqref="I60:I62">
    <cfRule type="cellIs" dxfId="957" priority="357" operator="greaterThan">
      <formula>0.03</formula>
    </cfRule>
    <cfRule type="cellIs" dxfId="956" priority="358" stopIfTrue="1" operator="lessThan">
      <formula>-0.03</formula>
    </cfRule>
  </conditionalFormatting>
  <conditionalFormatting sqref="I60:I62">
    <cfRule type="cellIs" dxfId="955" priority="355" operator="greaterThan">
      <formula>0.03</formula>
    </cfRule>
    <cfRule type="cellIs" dxfId="954" priority="356" stopIfTrue="1" operator="lessThan">
      <formula>-0.03</formula>
    </cfRule>
  </conditionalFormatting>
  <conditionalFormatting sqref="I60:I62">
    <cfRule type="cellIs" dxfId="953" priority="353" operator="greaterThan">
      <formula>0.03</formula>
    </cfRule>
    <cfRule type="cellIs" dxfId="952" priority="354" stopIfTrue="1" operator="lessThan">
      <formula>-0.03</formula>
    </cfRule>
  </conditionalFormatting>
  <conditionalFormatting sqref="I60:I62">
    <cfRule type="cellIs" dxfId="951" priority="351" operator="greaterThan">
      <formula>0.03</formula>
    </cfRule>
    <cfRule type="cellIs" dxfId="950" priority="352" stopIfTrue="1" operator="lessThan">
      <formula>-0.03</formula>
    </cfRule>
  </conditionalFormatting>
  <conditionalFormatting sqref="I59">
    <cfRule type="cellIs" dxfId="949" priority="349" operator="greaterThan">
      <formula>0.03</formula>
    </cfRule>
    <cfRule type="cellIs" dxfId="948" priority="350" stopIfTrue="1" operator="lessThan">
      <formula>-0.03</formula>
    </cfRule>
  </conditionalFormatting>
  <conditionalFormatting sqref="I59">
    <cfRule type="cellIs" dxfId="947" priority="347" operator="greaterThan">
      <formula>0.03</formula>
    </cfRule>
    <cfRule type="cellIs" dxfId="946" priority="348" stopIfTrue="1" operator="lessThan">
      <formula>-0.03</formula>
    </cfRule>
  </conditionalFormatting>
  <conditionalFormatting sqref="I59">
    <cfRule type="cellIs" dxfId="945" priority="345" operator="greaterThan">
      <formula>0.03</formula>
    </cfRule>
    <cfRule type="cellIs" dxfId="944" priority="346" stopIfTrue="1" operator="lessThan">
      <formula>-0.03</formula>
    </cfRule>
  </conditionalFormatting>
  <conditionalFormatting sqref="I59">
    <cfRule type="cellIs" dxfId="943" priority="343" operator="greaterThan">
      <formula>0.03</formula>
    </cfRule>
    <cfRule type="cellIs" dxfId="942" priority="344" stopIfTrue="1" operator="lessThan">
      <formula>-0.03</formula>
    </cfRule>
  </conditionalFormatting>
  <conditionalFormatting sqref="I59">
    <cfRule type="cellIs" dxfId="941" priority="341" operator="greaterThan">
      <formula>0.03</formula>
    </cfRule>
    <cfRule type="cellIs" dxfId="940" priority="342" stopIfTrue="1" operator="lessThan">
      <formula>-0.03</formula>
    </cfRule>
  </conditionalFormatting>
  <conditionalFormatting sqref="I4:I6 I8:I10">
    <cfRule type="cellIs" dxfId="939" priority="339" operator="greaterThan">
      <formula>0.03</formula>
    </cfRule>
    <cfRule type="cellIs" dxfId="938" priority="340" stopIfTrue="1" operator="lessThan">
      <formula>-0.03</formula>
    </cfRule>
  </conditionalFormatting>
  <conditionalFormatting sqref="I4:I6 I8:I10">
    <cfRule type="cellIs" dxfId="937" priority="337" operator="greaterThan">
      <formula>0.03</formula>
    </cfRule>
    <cfRule type="cellIs" dxfId="936" priority="338" stopIfTrue="1" operator="lessThan">
      <formula>-0.03</formula>
    </cfRule>
  </conditionalFormatting>
  <conditionalFormatting sqref="I4:I6 I8:I10">
    <cfRule type="cellIs" dxfId="935" priority="335" operator="greaterThan">
      <formula>0.03</formula>
    </cfRule>
    <cfRule type="cellIs" dxfId="934" priority="336" stopIfTrue="1" operator="lessThan">
      <formula>-0.03</formula>
    </cfRule>
  </conditionalFormatting>
  <conditionalFormatting sqref="I4:I6 I8:I10">
    <cfRule type="cellIs" dxfId="933" priority="331" operator="greaterThan">
      <formula>0.03</formula>
    </cfRule>
    <cfRule type="cellIs" dxfId="932" priority="332" stopIfTrue="1" operator="lessThan">
      <formula>-0.03</formula>
    </cfRule>
  </conditionalFormatting>
  <conditionalFormatting sqref="I4:I6 I8:I10">
    <cfRule type="cellIs" dxfId="931" priority="333" operator="greaterThan">
      <formula>0.03</formula>
    </cfRule>
    <cfRule type="cellIs" dxfId="930" priority="334" stopIfTrue="1" operator="lessThan">
      <formula>-0.03</formula>
    </cfRule>
  </conditionalFormatting>
  <conditionalFormatting sqref="I3">
    <cfRule type="cellIs" dxfId="929" priority="329" operator="greaterThan">
      <formula>0.03</formula>
    </cfRule>
    <cfRule type="cellIs" dxfId="928" priority="330" stopIfTrue="1" operator="lessThan">
      <formula>-0.03</formula>
    </cfRule>
  </conditionalFormatting>
  <conditionalFormatting sqref="I3">
    <cfRule type="cellIs" dxfId="927" priority="327" operator="greaterThan">
      <formula>0.03</formula>
    </cfRule>
    <cfRule type="cellIs" dxfId="926" priority="328" stopIfTrue="1" operator="lessThan">
      <formula>-0.03</formula>
    </cfRule>
  </conditionalFormatting>
  <conditionalFormatting sqref="I3">
    <cfRule type="cellIs" dxfId="925" priority="325" operator="greaterThan">
      <formula>0.03</formula>
    </cfRule>
    <cfRule type="cellIs" dxfId="924" priority="326" stopIfTrue="1" operator="lessThan">
      <formula>-0.03</formula>
    </cfRule>
  </conditionalFormatting>
  <conditionalFormatting sqref="I3">
    <cfRule type="cellIs" dxfId="923" priority="323" operator="greaterThan">
      <formula>0.03</formula>
    </cfRule>
    <cfRule type="cellIs" dxfId="922" priority="324" stopIfTrue="1" operator="lessThan">
      <formula>-0.03</formula>
    </cfRule>
  </conditionalFormatting>
  <conditionalFormatting sqref="I3">
    <cfRule type="cellIs" dxfId="921" priority="321" operator="greaterThan">
      <formula>0.03</formula>
    </cfRule>
    <cfRule type="cellIs" dxfId="920" priority="322" stopIfTrue="1" operator="lessThan">
      <formula>-0.03</formula>
    </cfRule>
  </conditionalFormatting>
  <conditionalFormatting sqref="I7">
    <cfRule type="cellIs" dxfId="919" priority="319" operator="greaterThan">
      <formula>0.03</formula>
    </cfRule>
    <cfRule type="cellIs" dxfId="918" priority="320" stopIfTrue="1" operator="lessThan">
      <formula>-0.03</formula>
    </cfRule>
  </conditionalFormatting>
  <conditionalFormatting sqref="I7">
    <cfRule type="cellIs" dxfId="917" priority="317" operator="greaterThan">
      <formula>0.03</formula>
    </cfRule>
    <cfRule type="cellIs" dxfId="916" priority="318" stopIfTrue="1" operator="lessThan">
      <formula>-0.03</formula>
    </cfRule>
  </conditionalFormatting>
  <conditionalFormatting sqref="I7">
    <cfRule type="cellIs" dxfId="915" priority="315" operator="greaterThan">
      <formula>0.03</formula>
    </cfRule>
    <cfRule type="cellIs" dxfId="914" priority="316" stopIfTrue="1" operator="lessThan">
      <formula>-0.03</formula>
    </cfRule>
  </conditionalFormatting>
  <conditionalFormatting sqref="I7">
    <cfRule type="cellIs" dxfId="913" priority="313" operator="greaterThan">
      <formula>0.03</formula>
    </cfRule>
    <cfRule type="cellIs" dxfId="912" priority="314" stopIfTrue="1" operator="lessThan">
      <formula>-0.03</formula>
    </cfRule>
  </conditionalFormatting>
  <conditionalFormatting sqref="I7">
    <cfRule type="cellIs" dxfId="911" priority="311" operator="greaterThan">
      <formula>0.03</formula>
    </cfRule>
    <cfRule type="cellIs" dxfId="910" priority="312" stopIfTrue="1" operator="lessThan">
      <formula>-0.03</formula>
    </cfRule>
  </conditionalFormatting>
  <conditionalFormatting sqref="I15">
    <cfRule type="cellIs" dxfId="909" priority="309" operator="greaterThan">
      <formula>0.03</formula>
    </cfRule>
    <cfRule type="cellIs" dxfId="908" priority="310" stopIfTrue="1" operator="lessThan">
      <formula>-0.03</formula>
    </cfRule>
  </conditionalFormatting>
  <conditionalFormatting sqref="I15">
    <cfRule type="cellIs" dxfId="907" priority="307" operator="greaterThan">
      <formula>0.03</formula>
    </cfRule>
    <cfRule type="cellIs" dxfId="906" priority="308" stopIfTrue="1" operator="lessThan">
      <formula>-0.03</formula>
    </cfRule>
  </conditionalFormatting>
  <conditionalFormatting sqref="I15">
    <cfRule type="cellIs" dxfId="905" priority="305" operator="greaterThan">
      <formula>0.03</formula>
    </cfRule>
    <cfRule type="cellIs" dxfId="904" priority="306" stopIfTrue="1" operator="lessThan">
      <formula>-0.03</formula>
    </cfRule>
  </conditionalFormatting>
  <conditionalFormatting sqref="I15">
    <cfRule type="cellIs" dxfId="903" priority="303" operator="greaterThan">
      <formula>0.03</formula>
    </cfRule>
    <cfRule type="cellIs" dxfId="902" priority="304" stopIfTrue="1" operator="lessThan">
      <formula>-0.03</formula>
    </cfRule>
  </conditionalFormatting>
  <conditionalFormatting sqref="I15">
    <cfRule type="cellIs" dxfId="901" priority="301" operator="greaterThan">
      <formula>0.03</formula>
    </cfRule>
    <cfRule type="cellIs" dxfId="900" priority="302" stopIfTrue="1" operator="lessThan">
      <formula>-0.03</formula>
    </cfRule>
  </conditionalFormatting>
  <conditionalFormatting sqref="I72:I74">
    <cfRule type="cellIs" dxfId="899" priority="299" operator="greaterThan">
      <formula>0.03</formula>
    </cfRule>
    <cfRule type="cellIs" dxfId="898" priority="300" stopIfTrue="1" operator="lessThan">
      <formula>-0.03</formula>
    </cfRule>
  </conditionalFormatting>
  <conditionalFormatting sqref="I72:I74">
    <cfRule type="cellIs" dxfId="897" priority="297" operator="greaterThan">
      <formula>0.03</formula>
    </cfRule>
    <cfRule type="cellIs" dxfId="896" priority="298" stopIfTrue="1" operator="lessThan">
      <formula>-0.03</formula>
    </cfRule>
  </conditionalFormatting>
  <conditionalFormatting sqref="I72:I74">
    <cfRule type="cellIs" dxfId="895" priority="295" operator="greaterThan">
      <formula>0.03</formula>
    </cfRule>
    <cfRule type="cellIs" dxfId="894" priority="296" stopIfTrue="1" operator="lessThan">
      <formula>-0.03</formula>
    </cfRule>
  </conditionalFormatting>
  <conditionalFormatting sqref="I72:I74">
    <cfRule type="cellIs" dxfId="893" priority="293" operator="greaterThan">
      <formula>0.03</formula>
    </cfRule>
    <cfRule type="cellIs" dxfId="892" priority="294" stopIfTrue="1" operator="lessThan">
      <formula>-0.03</formula>
    </cfRule>
  </conditionalFormatting>
  <conditionalFormatting sqref="I72:I74">
    <cfRule type="cellIs" dxfId="891" priority="291" operator="greaterThan">
      <formula>0.03</formula>
    </cfRule>
    <cfRule type="cellIs" dxfId="890" priority="292" stopIfTrue="1" operator="lessThan">
      <formula>-0.03</formula>
    </cfRule>
  </conditionalFormatting>
  <conditionalFormatting sqref="I68:I70">
    <cfRule type="cellIs" dxfId="889" priority="289" operator="greaterThan">
      <formula>0.03</formula>
    </cfRule>
    <cfRule type="cellIs" dxfId="888" priority="290" stopIfTrue="1" operator="lessThan">
      <formula>-0.03</formula>
    </cfRule>
  </conditionalFormatting>
  <conditionalFormatting sqref="I68:I70">
    <cfRule type="cellIs" dxfId="887" priority="287" operator="greaterThan">
      <formula>0.03</formula>
    </cfRule>
    <cfRule type="cellIs" dxfId="886" priority="288" stopIfTrue="1" operator="lessThan">
      <formula>-0.03</formula>
    </cfRule>
  </conditionalFormatting>
  <conditionalFormatting sqref="I71">
    <cfRule type="cellIs" dxfId="885" priority="269" operator="greaterThan">
      <formula>0.03</formula>
    </cfRule>
    <cfRule type="cellIs" dxfId="884" priority="270" stopIfTrue="1" operator="lessThan">
      <formula>-0.03</formula>
    </cfRule>
  </conditionalFormatting>
  <conditionalFormatting sqref="I71">
    <cfRule type="cellIs" dxfId="883" priority="267" operator="greaterThan">
      <formula>0.03</formula>
    </cfRule>
    <cfRule type="cellIs" dxfId="882" priority="268" stopIfTrue="1" operator="lessThan">
      <formula>-0.03</formula>
    </cfRule>
  </conditionalFormatting>
  <conditionalFormatting sqref="I71">
    <cfRule type="cellIs" dxfId="881" priority="265" operator="greaterThan">
      <formula>0.03</formula>
    </cfRule>
    <cfRule type="cellIs" dxfId="880" priority="266" stopIfTrue="1" operator="lessThan">
      <formula>-0.03</formula>
    </cfRule>
  </conditionalFormatting>
  <conditionalFormatting sqref="I71">
    <cfRule type="cellIs" dxfId="879" priority="263" operator="greaterThan">
      <formula>0.03</formula>
    </cfRule>
    <cfRule type="cellIs" dxfId="878" priority="264" stopIfTrue="1" operator="lessThan">
      <formula>-0.03</formula>
    </cfRule>
  </conditionalFormatting>
  <conditionalFormatting sqref="I71">
    <cfRule type="cellIs" dxfId="877" priority="261" operator="greaterThan">
      <formula>0.03</formula>
    </cfRule>
    <cfRule type="cellIs" dxfId="876" priority="262" stopIfTrue="1" operator="lessThan">
      <formula>-0.03</formula>
    </cfRule>
  </conditionalFormatting>
  <conditionalFormatting sqref="I68:I70">
    <cfRule type="cellIs" dxfId="875" priority="285" operator="greaterThan">
      <formula>0.03</formula>
    </cfRule>
    <cfRule type="cellIs" dxfId="874" priority="286" stopIfTrue="1" operator="lessThan">
      <formula>-0.03</formula>
    </cfRule>
  </conditionalFormatting>
  <conditionalFormatting sqref="I68:I70">
    <cfRule type="cellIs" dxfId="873" priority="281" operator="greaterThan">
      <formula>0.03</formula>
    </cfRule>
    <cfRule type="cellIs" dxfId="872" priority="282" stopIfTrue="1" operator="lessThan">
      <formula>-0.03</formula>
    </cfRule>
  </conditionalFormatting>
  <conditionalFormatting sqref="I68:I70">
    <cfRule type="cellIs" dxfId="871" priority="283" operator="greaterThan">
      <formula>0.03</formula>
    </cfRule>
    <cfRule type="cellIs" dxfId="870" priority="284" stopIfTrue="1" operator="lessThan">
      <formula>-0.03</formula>
    </cfRule>
  </conditionalFormatting>
  <conditionalFormatting sqref="I67">
    <cfRule type="cellIs" dxfId="869" priority="279" operator="greaterThan">
      <formula>0.03</formula>
    </cfRule>
    <cfRule type="cellIs" dxfId="868" priority="280" stopIfTrue="1" operator="lessThan">
      <formula>-0.03</formula>
    </cfRule>
  </conditionalFormatting>
  <conditionalFormatting sqref="I67">
    <cfRule type="cellIs" dxfId="867" priority="277" operator="greaterThan">
      <formula>0.03</formula>
    </cfRule>
    <cfRule type="cellIs" dxfId="866" priority="278" stopIfTrue="1" operator="lessThan">
      <formula>-0.03</formula>
    </cfRule>
  </conditionalFormatting>
  <conditionalFormatting sqref="I67">
    <cfRule type="cellIs" dxfId="865" priority="275" operator="greaterThan">
      <formula>0.03</formula>
    </cfRule>
    <cfRule type="cellIs" dxfId="864" priority="276" stopIfTrue="1" operator="lessThan">
      <formula>-0.03</formula>
    </cfRule>
  </conditionalFormatting>
  <conditionalFormatting sqref="I67">
    <cfRule type="cellIs" dxfId="863" priority="273" operator="greaterThan">
      <formula>0.03</formula>
    </cfRule>
    <cfRule type="cellIs" dxfId="862" priority="274" stopIfTrue="1" operator="lessThan">
      <formula>-0.03</formula>
    </cfRule>
  </conditionalFormatting>
  <conditionalFormatting sqref="I67">
    <cfRule type="cellIs" dxfId="861" priority="271" operator="greaterThan">
      <formula>0.03</formula>
    </cfRule>
    <cfRule type="cellIs" dxfId="860" priority="272" stopIfTrue="1" operator="lessThan">
      <formula>-0.03</formula>
    </cfRule>
  </conditionalFormatting>
  <conditionalFormatting sqref="I92:I94">
    <cfRule type="cellIs" dxfId="859" priority="259" operator="greaterThan">
      <formula>0.03</formula>
    </cfRule>
    <cfRule type="cellIs" dxfId="858" priority="260" stopIfTrue="1" operator="lessThan">
      <formula>-0.03</formula>
    </cfRule>
  </conditionalFormatting>
  <conditionalFormatting sqref="I92:I94">
    <cfRule type="cellIs" dxfId="857" priority="257" operator="greaterThan">
      <formula>0.03</formula>
    </cfRule>
    <cfRule type="cellIs" dxfId="856" priority="258" stopIfTrue="1" operator="lessThan">
      <formula>-0.03</formula>
    </cfRule>
  </conditionalFormatting>
  <conditionalFormatting sqref="I92:I94">
    <cfRule type="cellIs" dxfId="855" priority="255" operator="greaterThan">
      <formula>0.03</formula>
    </cfRule>
    <cfRule type="cellIs" dxfId="854" priority="256" stopIfTrue="1" operator="lessThan">
      <formula>-0.03</formula>
    </cfRule>
  </conditionalFormatting>
  <conditionalFormatting sqref="I92:I94">
    <cfRule type="cellIs" dxfId="853" priority="253" operator="greaterThan">
      <formula>0.03</formula>
    </cfRule>
    <cfRule type="cellIs" dxfId="852" priority="254" stopIfTrue="1" operator="lessThan">
      <formula>-0.03</formula>
    </cfRule>
  </conditionalFormatting>
  <conditionalFormatting sqref="I92:I94">
    <cfRule type="cellIs" dxfId="851" priority="251" operator="greaterThan">
      <formula>0.03</formula>
    </cfRule>
    <cfRule type="cellIs" dxfId="850" priority="252" stopIfTrue="1" operator="lessThan">
      <formula>-0.03</formula>
    </cfRule>
  </conditionalFormatting>
  <conditionalFormatting sqref="I84:I86">
    <cfRule type="cellIs" dxfId="849" priority="249" operator="greaterThan">
      <formula>0.03</formula>
    </cfRule>
    <cfRule type="cellIs" dxfId="848" priority="250" stopIfTrue="1" operator="lessThan">
      <formula>-0.03</formula>
    </cfRule>
  </conditionalFormatting>
  <conditionalFormatting sqref="I84:I86">
    <cfRule type="cellIs" dxfId="847" priority="247" operator="greaterThan">
      <formula>0.03</formula>
    </cfRule>
    <cfRule type="cellIs" dxfId="846" priority="248" stopIfTrue="1" operator="lessThan">
      <formula>-0.03</formula>
    </cfRule>
  </conditionalFormatting>
  <conditionalFormatting sqref="I91">
    <cfRule type="cellIs" dxfId="845" priority="229" operator="greaterThan">
      <formula>0.03</formula>
    </cfRule>
    <cfRule type="cellIs" dxfId="844" priority="230" stopIfTrue="1" operator="lessThan">
      <formula>-0.03</formula>
    </cfRule>
  </conditionalFormatting>
  <conditionalFormatting sqref="I91">
    <cfRule type="cellIs" dxfId="843" priority="227" operator="greaterThan">
      <formula>0.03</formula>
    </cfRule>
    <cfRule type="cellIs" dxfId="842" priority="228" stopIfTrue="1" operator="lessThan">
      <formula>-0.03</formula>
    </cfRule>
  </conditionalFormatting>
  <conditionalFormatting sqref="I91">
    <cfRule type="cellIs" dxfId="841" priority="225" operator="greaterThan">
      <formula>0.03</formula>
    </cfRule>
    <cfRule type="cellIs" dxfId="840" priority="226" stopIfTrue="1" operator="lessThan">
      <formula>-0.03</formula>
    </cfRule>
  </conditionalFormatting>
  <conditionalFormatting sqref="I91">
    <cfRule type="cellIs" dxfId="839" priority="223" operator="greaterThan">
      <formula>0.03</formula>
    </cfRule>
    <cfRule type="cellIs" dxfId="838" priority="224" stopIfTrue="1" operator="lessThan">
      <formula>-0.03</formula>
    </cfRule>
  </conditionalFormatting>
  <conditionalFormatting sqref="I91">
    <cfRule type="cellIs" dxfId="837" priority="221" operator="greaterThan">
      <formula>0.03</formula>
    </cfRule>
    <cfRule type="cellIs" dxfId="836" priority="222" stopIfTrue="1" operator="lessThan">
      <formula>-0.03</formula>
    </cfRule>
  </conditionalFormatting>
  <conditionalFormatting sqref="I84:I86">
    <cfRule type="cellIs" dxfId="835" priority="245" operator="greaterThan">
      <formula>0.03</formula>
    </cfRule>
    <cfRule type="cellIs" dxfId="834" priority="246" stopIfTrue="1" operator="lessThan">
      <formula>-0.03</formula>
    </cfRule>
  </conditionalFormatting>
  <conditionalFormatting sqref="I84:I86">
    <cfRule type="cellIs" dxfId="833" priority="241" operator="greaterThan">
      <formula>0.03</formula>
    </cfRule>
    <cfRule type="cellIs" dxfId="832" priority="242" stopIfTrue="1" operator="lessThan">
      <formula>-0.03</formula>
    </cfRule>
  </conditionalFormatting>
  <conditionalFormatting sqref="I84:I86">
    <cfRule type="cellIs" dxfId="831" priority="243" operator="greaterThan">
      <formula>0.03</formula>
    </cfRule>
    <cfRule type="cellIs" dxfId="830" priority="244" stopIfTrue="1" operator="lessThan">
      <formula>-0.03</formula>
    </cfRule>
  </conditionalFormatting>
  <conditionalFormatting sqref="I83">
    <cfRule type="cellIs" dxfId="829" priority="239" operator="greaterThan">
      <formula>0.03</formula>
    </cfRule>
    <cfRule type="cellIs" dxfId="828" priority="240" stopIfTrue="1" operator="lessThan">
      <formula>-0.03</formula>
    </cfRule>
  </conditionalFormatting>
  <conditionalFormatting sqref="I83">
    <cfRule type="cellIs" dxfId="827" priority="237" operator="greaterThan">
      <formula>0.03</formula>
    </cfRule>
    <cfRule type="cellIs" dxfId="826" priority="238" stopIfTrue="1" operator="lessThan">
      <formula>-0.03</formula>
    </cfRule>
  </conditionalFormatting>
  <conditionalFormatting sqref="I83">
    <cfRule type="cellIs" dxfId="825" priority="235" operator="greaterThan">
      <formula>0.03</formula>
    </cfRule>
    <cfRule type="cellIs" dxfId="824" priority="236" stopIfTrue="1" operator="lessThan">
      <formula>-0.03</formula>
    </cfRule>
  </conditionalFormatting>
  <conditionalFormatting sqref="I83">
    <cfRule type="cellIs" dxfId="823" priority="233" operator="greaterThan">
      <formula>0.03</formula>
    </cfRule>
    <cfRule type="cellIs" dxfId="822" priority="234" stopIfTrue="1" operator="lessThan">
      <formula>-0.03</formula>
    </cfRule>
  </conditionalFormatting>
  <conditionalFormatting sqref="I83">
    <cfRule type="cellIs" dxfId="821" priority="231" operator="greaterThan">
      <formula>0.03</formula>
    </cfRule>
    <cfRule type="cellIs" dxfId="820" priority="232" stopIfTrue="1" operator="lessThan">
      <formula>-0.03</formula>
    </cfRule>
  </conditionalFormatting>
  <conditionalFormatting sqref="I80:I82">
    <cfRule type="cellIs" dxfId="819" priority="219" operator="greaterThan">
      <formula>0.03</formula>
    </cfRule>
    <cfRule type="cellIs" dxfId="818" priority="220" stopIfTrue="1" operator="lessThan">
      <formula>-0.03</formula>
    </cfRule>
  </conditionalFormatting>
  <conditionalFormatting sqref="I80:I82">
    <cfRule type="cellIs" dxfId="817" priority="217" operator="greaterThan">
      <formula>0.03</formula>
    </cfRule>
    <cfRule type="cellIs" dxfId="816" priority="218" stopIfTrue="1" operator="lessThan">
      <formula>-0.03</formula>
    </cfRule>
  </conditionalFormatting>
  <conditionalFormatting sqref="I80:I82">
    <cfRule type="cellIs" dxfId="815" priority="215" operator="greaterThan">
      <formula>0.03</formula>
    </cfRule>
    <cfRule type="cellIs" dxfId="814" priority="216" stopIfTrue="1" operator="lessThan">
      <formula>-0.03</formula>
    </cfRule>
  </conditionalFormatting>
  <conditionalFormatting sqref="I80:I82">
    <cfRule type="cellIs" dxfId="813" priority="213" operator="greaterThan">
      <formula>0.03</formula>
    </cfRule>
    <cfRule type="cellIs" dxfId="812" priority="214" stopIfTrue="1" operator="lessThan">
      <formula>-0.03</formula>
    </cfRule>
  </conditionalFormatting>
  <conditionalFormatting sqref="I80:I82">
    <cfRule type="cellIs" dxfId="811" priority="211" operator="greaterThan">
      <formula>0.03</formula>
    </cfRule>
    <cfRule type="cellIs" dxfId="810" priority="212" stopIfTrue="1" operator="lessThan">
      <formula>-0.03</formula>
    </cfRule>
  </conditionalFormatting>
  <conditionalFormatting sqref="I76:I78">
    <cfRule type="cellIs" dxfId="809" priority="209" operator="greaterThan">
      <formula>0.03</formula>
    </cfRule>
    <cfRule type="cellIs" dxfId="808" priority="210" stopIfTrue="1" operator="lessThan">
      <formula>-0.03</formula>
    </cfRule>
  </conditionalFormatting>
  <conditionalFormatting sqref="I76:I78">
    <cfRule type="cellIs" dxfId="807" priority="207" operator="greaterThan">
      <formula>0.03</formula>
    </cfRule>
    <cfRule type="cellIs" dxfId="806" priority="208" stopIfTrue="1" operator="lessThan">
      <formula>-0.03</formula>
    </cfRule>
  </conditionalFormatting>
  <conditionalFormatting sqref="I79">
    <cfRule type="cellIs" dxfId="805" priority="189" operator="greaterThan">
      <formula>0.03</formula>
    </cfRule>
    <cfRule type="cellIs" dxfId="804" priority="190" stopIfTrue="1" operator="lessThan">
      <formula>-0.03</formula>
    </cfRule>
  </conditionalFormatting>
  <conditionalFormatting sqref="I79">
    <cfRule type="cellIs" dxfId="803" priority="187" operator="greaterThan">
      <formula>0.03</formula>
    </cfRule>
    <cfRule type="cellIs" dxfId="802" priority="188" stopIfTrue="1" operator="lessThan">
      <formula>-0.03</formula>
    </cfRule>
  </conditionalFormatting>
  <conditionalFormatting sqref="I79">
    <cfRule type="cellIs" dxfId="801" priority="185" operator="greaterThan">
      <formula>0.03</formula>
    </cfRule>
    <cfRule type="cellIs" dxfId="800" priority="186" stopIfTrue="1" operator="lessThan">
      <formula>-0.03</formula>
    </cfRule>
  </conditionalFormatting>
  <conditionalFormatting sqref="I79">
    <cfRule type="cellIs" dxfId="799" priority="183" operator="greaterThan">
      <formula>0.03</formula>
    </cfRule>
    <cfRule type="cellIs" dxfId="798" priority="184" stopIfTrue="1" operator="lessThan">
      <formula>-0.03</formula>
    </cfRule>
  </conditionalFormatting>
  <conditionalFormatting sqref="I79">
    <cfRule type="cellIs" dxfId="797" priority="181" operator="greaterThan">
      <formula>0.03</formula>
    </cfRule>
    <cfRule type="cellIs" dxfId="796" priority="182" stopIfTrue="1" operator="lessThan">
      <formula>-0.03</formula>
    </cfRule>
  </conditionalFormatting>
  <conditionalFormatting sqref="I76:I78">
    <cfRule type="cellIs" dxfId="795" priority="205" operator="greaterThan">
      <formula>0.03</formula>
    </cfRule>
    <cfRule type="cellIs" dxfId="794" priority="206" stopIfTrue="1" operator="lessThan">
      <formula>-0.03</formula>
    </cfRule>
  </conditionalFormatting>
  <conditionalFormatting sqref="I76:I78">
    <cfRule type="cellIs" dxfId="793" priority="201" operator="greaterThan">
      <formula>0.03</formula>
    </cfRule>
    <cfRule type="cellIs" dxfId="792" priority="202" stopIfTrue="1" operator="lessThan">
      <formula>-0.03</formula>
    </cfRule>
  </conditionalFormatting>
  <conditionalFormatting sqref="I76:I78">
    <cfRule type="cellIs" dxfId="791" priority="203" operator="greaterThan">
      <formula>0.03</formula>
    </cfRule>
    <cfRule type="cellIs" dxfId="790" priority="204" stopIfTrue="1" operator="lessThan">
      <formula>-0.03</formula>
    </cfRule>
  </conditionalFormatting>
  <conditionalFormatting sqref="I75">
    <cfRule type="cellIs" dxfId="789" priority="199" operator="greaterThan">
      <formula>0.03</formula>
    </cfRule>
    <cfRule type="cellIs" dxfId="788" priority="200" stopIfTrue="1" operator="lessThan">
      <formula>-0.03</formula>
    </cfRule>
  </conditionalFormatting>
  <conditionalFormatting sqref="I75">
    <cfRule type="cellIs" dxfId="787" priority="197" operator="greaterThan">
      <formula>0.03</formula>
    </cfRule>
    <cfRule type="cellIs" dxfId="786" priority="198" stopIfTrue="1" operator="lessThan">
      <formula>-0.03</formula>
    </cfRule>
  </conditionalFormatting>
  <conditionalFormatting sqref="I75">
    <cfRule type="cellIs" dxfId="785" priority="195" operator="greaterThan">
      <formula>0.03</formula>
    </cfRule>
    <cfRule type="cellIs" dxfId="784" priority="196" stopIfTrue="1" operator="lessThan">
      <formula>-0.03</formula>
    </cfRule>
  </conditionalFormatting>
  <conditionalFormatting sqref="I75">
    <cfRule type="cellIs" dxfId="783" priority="193" operator="greaterThan">
      <formula>0.03</formula>
    </cfRule>
    <cfRule type="cellIs" dxfId="782" priority="194" stopIfTrue="1" operator="lessThan">
      <formula>-0.03</formula>
    </cfRule>
  </conditionalFormatting>
  <conditionalFormatting sqref="I75">
    <cfRule type="cellIs" dxfId="781" priority="191" operator="greaterThan">
      <formula>0.03</formula>
    </cfRule>
    <cfRule type="cellIs" dxfId="780" priority="192" stopIfTrue="1" operator="lessThan">
      <formula>-0.03</formula>
    </cfRule>
  </conditionalFormatting>
  <conditionalFormatting sqref="I88:I90">
    <cfRule type="cellIs" dxfId="779" priority="179" operator="greaterThan">
      <formula>0.03</formula>
    </cfRule>
    <cfRule type="cellIs" dxfId="778" priority="180" stopIfTrue="1" operator="lessThan">
      <formula>-0.03</formula>
    </cfRule>
  </conditionalFormatting>
  <conditionalFormatting sqref="I88:I90">
    <cfRule type="cellIs" dxfId="777" priority="177" operator="greaterThan">
      <formula>0.03</formula>
    </cfRule>
    <cfRule type="cellIs" dxfId="776" priority="178" stopIfTrue="1" operator="lessThan">
      <formula>-0.03</formula>
    </cfRule>
  </conditionalFormatting>
  <conditionalFormatting sqref="I88:I90">
    <cfRule type="cellIs" dxfId="775" priority="175" operator="greaterThan">
      <formula>0.03</formula>
    </cfRule>
    <cfRule type="cellIs" dxfId="774" priority="176" stopIfTrue="1" operator="lessThan">
      <formula>-0.03</formula>
    </cfRule>
  </conditionalFormatting>
  <conditionalFormatting sqref="I88:I90">
    <cfRule type="cellIs" dxfId="773" priority="173" operator="greaterThan">
      <formula>0.03</formula>
    </cfRule>
    <cfRule type="cellIs" dxfId="772" priority="174" stopIfTrue="1" operator="lessThan">
      <formula>-0.03</formula>
    </cfRule>
  </conditionalFormatting>
  <conditionalFormatting sqref="I88:I90">
    <cfRule type="cellIs" dxfId="771" priority="171" operator="greaterThan">
      <formula>0.03</formula>
    </cfRule>
    <cfRule type="cellIs" dxfId="770" priority="172" stopIfTrue="1" operator="lessThan">
      <formula>-0.03</formula>
    </cfRule>
  </conditionalFormatting>
  <conditionalFormatting sqref="I87">
    <cfRule type="cellIs" dxfId="769" priority="169" operator="greaterThan">
      <formula>0.03</formula>
    </cfRule>
    <cfRule type="cellIs" dxfId="768" priority="170" stopIfTrue="1" operator="lessThan">
      <formula>-0.03</formula>
    </cfRule>
  </conditionalFormatting>
  <conditionalFormatting sqref="I87">
    <cfRule type="cellIs" dxfId="767" priority="167" operator="greaterThan">
      <formula>0.03</formula>
    </cfRule>
    <cfRule type="cellIs" dxfId="766" priority="168" stopIfTrue="1" operator="lessThan">
      <formula>-0.03</formula>
    </cfRule>
  </conditionalFormatting>
  <conditionalFormatting sqref="I87">
    <cfRule type="cellIs" dxfId="765" priority="165" operator="greaterThan">
      <formula>0.03</formula>
    </cfRule>
    <cfRule type="cellIs" dxfId="764" priority="166" stopIfTrue="1" operator="lessThan">
      <formula>-0.03</formula>
    </cfRule>
  </conditionalFormatting>
  <conditionalFormatting sqref="I87">
    <cfRule type="cellIs" dxfId="763" priority="163" operator="greaterThan">
      <formula>0.03</formula>
    </cfRule>
    <cfRule type="cellIs" dxfId="762" priority="164" stopIfTrue="1" operator="lessThan">
      <formula>-0.03</formula>
    </cfRule>
  </conditionalFormatting>
  <conditionalFormatting sqref="I87">
    <cfRule type="cellIs" dxfId="761" priority="161" operator="greaterThan">
      <formula>0.03</formula>
    </cfRule>
    <cfRule type="cellIs" dxfId="760" priority="162" stopIfTrue="1" operator="lessThan">
      <formula>-0.03</formula>
    </cfRule>
  </conditionalFormatting>
  <conditionalFormatting sqref="I100:I102">
    <cfRule type="cellIs" dxfId="759" priority="159" operator="greaterThan">
      <formula>0.03</formula>
    </cfRule>
    <cfRule type="cellIs" dxfId="758" priority="160" stopIfTrue="1" operator="lessThan">
      <formula>-0.03</formula>
    </cfRule>
  </conditionalFormatting>
  <conditionalFormatting sqref="I100:I102">
    <cfRule type="cellIs" dxfId="757" priority="157" operator="greaterThan">
      <formula>0.03</formula>
    </cfRule>
    <cfRule type="cellIs" dxfId="756" priority="158" stopIfTrue="1" operator="lessThan">
      <formula>-0.03</formula>
    </cfRule>
  </conditionalFormatting>
  <conditionalFormatting sqref="I100:I102">
    <cfRule type="cellIs" dxfId="755" priority="155" operator="greaterThan">
      <formula>0.03</formula>
    </cfRule>
    <cfRule type="cellIs" dxfId="754" priority="156" stopIfTrue="1" operator="lessThan">
      <formula>-0.03</formula>
    </cfRule>
  </conditionalFormatting>
  <conditionalFormatting sqref="I100:I102">
    <cfRule type="cellIs" dxfId="753" priority="153" operator="greaterThan">
      <formula>0.03</formula>
    </cfRule>
    <cfRule type="cellIs" dxfId="752" priority="154" stopIfTrue="1" operator="lessThan">
      <formula>-0.03</formula>
    </cfRule>
  </conditionalFormatting>
  <conditionalFormatting sqref="I100:I102">
    <cfRule type="cellIs" dxfId="751" priority="151" operator="greaterThan">
      <formula>0.03</formula>
    </cfRule>
    <cfRule type="cellIs" dxfId="750" priority="152" stopIfTrue="1" operator="lessThan">
      <formula>-0.03</formula>
    </cfRule>
  </conditionalFormatting>
  <conditionalFormatting sqref="I96:I98">
    <cfRule type="cellIs" dxfId="749" priority="149" operator="greaterThan">
      <formula>0.03</formula>
    </cfRule>
    <cfRule type="cellIs" dxfId="748" priority="150" stopIfTrue="1" operator="lessThan">
      <formula>-0.03</formula>
    </cfRule>
  </conditionalFormatting>
  <conditionalFormatting sqref="I96:I98">
    <cfRule type="cellIs" dxfId="747" priority="147" operator="greaterThan">
      <formula>0.03</formula>
    </cfRule>
    <cfRule type="cellIs" dxfId="746" priority="148" stopIfTrue="1" operator="lessThan">
      <formula>-0.03</formula>
    </cfRule>
  </conditionalFormatting>
  <conditionalFormatting sqref="I99">
    <cfRule type="cellIs" dxfId="745" priority="129" operator="greaterThan">
      <formula>0.03</formula>
    </cfRule>
    <cfRule type="cellIs" dxfId="744" priority="130" stopIfTrue="1" operator="lessThan">
      <formula>-0.03</formula>
    </cfRule>
  </conditionalFormatting>
  <conditionalFormatting sqref="I99">
    <cfRule type="cellIs" dxfId="743" priority="127" operator="greaterThan">
      <formula>0.03</formula>
    </cfRule>
    <cfRule type="cellIs" dxfId="742" priority="128" stopIfTrue="1" operator="lessThan">
      <formula>-0.03</formula>
    </cfRule>
  </conditionalFormatting>
  <conditionalFormatting sqref="I99">
    <cfRule type="cellIs" dxfId="741" priority="125" operator="greaterThan">
      <formula>0.03</formula>
    </cfRule>
    <cfRule type="cellIs" dxfId="740" priority="126" stopIfTrue="1" operator="lessThan">
      <formula>-0.03</formula>
    </cfRule>
  </conditionalFormatting>
  <conditionalFormatting sqref="I99">
    <cfRule type="cellIs" dxfId="739" priority="123" operator="greaterThan">
      <formula>0.03</formula>
    </cfRule>
    <cfRule type="cellIs" dxfId="738" priority="124" stopIfTrue="1" operator="lessThan">
      <formula>-0.03</formula>
    </cfRule>
  </conditionalFormatting>
  <conditionalFormatting sqref="I99">
    <cfRule type="cellIs" dxfId="737" priority="121" operator="greaterThan">
      <formula>0.03</formula>
    </cfRule>
    <cfRule type="cellIs" dxfId="736" priority="122" stopIfTrue="1" operator="lessThan">
      <formula>-0.03</formula>
    </cfRule>
  </conditionalFormatting>
  <conditionalFormatting sqref="I96:I98">
    <cfRule type="cellIs" dxfId="735" priority="145" operator="greaterThan">
      <formula>0.03</formula>
    </cfRule>
    <cfRule type="cellIs" dxfId="734" priority="146" stopIfTrue="1" operator="lessThan">
      <formula>-0.03</formula>
    </cfRule>
  </conditionalFormatting>
  <conditionalFormatting sqref="I96:I98">
    <cfRule type="cellIs" dxfId="733" priority="141" operator="greaterThan">
      <formula>0.03</formula>
    </cfRule>
    <cfRule type="cellIs" dxfId="732" priority="142" stopIfTrue="1" operator="lessThan">
      <formula>-0.03</formula>
    </cfRule>
  </conditionalFormatting>
  <conditionalFormatting sqref="I96:I98">
    <cfRule type="cellIs" dxfId="731" priority="143" operator="greaterThan">
      <formula>0.03</formula>
    </cfRule>
    <cfRule type="cellIs" dxfId="730" priority="144" stopIfTrue="1" operator="lessThan">
      <formula>-0.03</formula>
    </cfRule>
  </conditionalFormatting>
  <conditionalFormatting sqref="I95">
    <cfRule type="cellIs" dxfId="729" priority="139" operator="greaterThan">
      <formula>0.03</formula>
    </cfRule>
    <cfRule type="cellIs" dxfId="728" priority="140" stopIfTrue="1" operator="lessThan">
      <formula>-0.03</formula>
    </cfRule>
  </conditionalFormatting>
  <conditionalFormatting sqref="I95">
    <cfRule type="cellIs" dxfId="727" priority="137" operator="greaterThan">
      <formula>0.03</formula>
    </cfRule>
    <cfRule type="cellIs" dxfId="726" priority="138" stopIfTrue="1" operator="lessThan">
      <formula>-0.03</formula>
    </cfRule>
  </conditionalFormatting>
  <conditionalFormatting sqref="I95">
    <cfRule type="cellIs" dxfId="725" priority="135" operator="greaterThan">
      <formula>0.03</formula>
    </cfRule>
    <cfRule type="cellIs" dxfId="724" priority="136" stopIfTrue="1" operator="lessThan">
      <formula>-0.03</formula>
    </cfRule>
  </conditionalFormatting>
  <conditionalFormatting sqref="I95">
    <cfRule type="cellIs" dxfId="723" priority="133" operator="greaterThan">
      <formula>0.03</formula>
    </cfRule>
    <cfRule type="cellIs" dxfId="722" priority="134" stopIfTrue="1" operator="lessThan">
      <formula>-0.03</formula>
    </cfRule>
  </conditionalFormatting>
  <conditionalFormatting sqref="I95">
    <cfRule type="cellIs" dxfId="721" priority="131" operator="greaterThan">
      <formula>0.03</formula>
    </cfRule>
    <cfRule type="cellIs" dxfId="720" priority="132" stopIfTrue="1" operator="lessThan">
      <formula>-0.03</formula>
    </cfRule>
  </conditionalFormatting>
  <conditionalFormatting sqref="I120:I122">
    <cfRule type="cellIs" dxfId="719" priority="119" operator="greaterThan">
      <formula>0.03</formula>
    </cfRule>
    <cfRule type="cellIs" dxfId="718" priority="120" stopIfTrue="1" operator="lessThan">
      <formula>-0.03</formula>
    </cfRule>
  </conditionalFormatting>
  <conditionalFormatting sqref="I120:I122">
    <cfRule type="cellIs" dxfId="717" priority="117" operator="greaterThan">
      <formula>0.03</formula>
    </cfRule>
    <cfRule type="cellIs" dxfId="716" priority="118" stopIfTrue="1" operator="lessThan">
      <formula>-0.03</formula>
    </cfRule>
  </conditionalFormatting>
  <conditionalFormatting sqref="I120:I122">
    <cfRule type="cellIs" dxfId="715" priority="115" operator="greaterThan">
      <formula>0.03</formula>
    </cfRule>
    <cfRule type="cellIs" dxfId="714" priority="116" stopIfTrue="1" operator="lessThan">
      <formula>-0.03</formula>
    </cfRule>
  </conditionalFormatting>
  <conditionalFormatting sqref="I120:I122">
    <cfRule type="cellIs" dxfId="713" priority="113" operator="greaterThan">
      <formula>0.03</formula>
    </cfRule>
    <cfRule type="cellIs" dxfId="712" priority="114" stopIfTrue="1" operator="lessThan">
      <formula>-0.03</formula>
    </cfRule>
  </conditionalFormatting>
  <conditionalFormatting sqref="I120:I122">
    <cfRule type="cellIs" dxfId="711" priority="111" operator="greaterThan">
      <formula>0.03</formula>
    </cfRule>
    <cfRule type="cellIs" dxfId="710" priority="112" stopIfTrue="1" operator="lessThan">
      <formula>-0.03</formula>
    </cfRule>
  </conditionalFormatting>
  <conditionalFormatting sqref="I112:I114">
    <cfRule type="cellIs" dxfId="709" priority="109" operator="greaterThan">
      <formula>0.03</formula>
    </cfRule>
    <cfRule type="cellIs" dxfId="708" priority="110" stopIfTrue="1" operator="lessThan">
      <formula>-0.03</formula>
    </cfRule>
  </conditionalFormatting>
  <conditionalFormatting sqref="I112:I114">
    <cfRule type="cellIs" dxfId="707" priority="107" operator="greaterThan">
      <formula>0.03</formula>
    </cfRule>
    <cfRule type="cellIs" dxfId="706" priority="108" stopIfTrue="1" operator="lessThan">
      <formula>-0.03</formula>
    </cfRule>
  </conditionalFormatting>
  <conditionalFormatting sqref="I119">
    <cfRule type="cellIs" dxfId="705" priority="89" operator="greaterThan">
      <formula>0.03</formula>
    </cfRule>
    <cfRule type="cellIs" dxfId="704" priority="90" stopIfTrue="1" operator="lessThan">
      <formula>-0.03</formula>
    </cfRule>
  </conditionalFormatting>
  <conditionalFormatting sqref="I119">
    <cfRule type="cellIs" dxfId="703" priority="87" operator="greaterThan">
      <formula>0.03</formula>
    </cfRule>
    <cfRule type="cellIs" dxfId="702" priority="88" stopIfTrue="1" operator="lessThan">
      <formula>-0.03</formula>
    </cfRule>
  </conditionalFormatting>
  <conditionalFormatting sqref="I119">
    <cfRule type="cellIs" dxfId="701" priority="85" operator="greaterThan">
      <formula>0.03</formula>
    </cfRule>
    <cfRule type="cellIs" dxfId="700" priority="86" stopIfTrue="1" operator="lessThan">
      <formula>-0.03</formula>
    </cfRule>
  </conditionalFormatting>
  <conditionalFormatting sqref="I119">
    <cfRule type="cellIs" dxfId="699" priority="83" operator="greaterThan">
      <formula>0.03</formula>
    </cfRule>
    <cfRule type="cellIs" dxfId="698" priority="84" stopIfTrue="1" operator="lessThan">
      <formula>-0.03</formula>
    </cfRule>
  </conditionalFormatting>
  <conditionalFormatting sqref="I119">
    <cfRule type="cellIs" dxfId="697" priority="81" operator="greaterThan">
      <formula>0.03</formula>
    </cfRule>
    <cfRule type="cellIs" dxfId="696" priority="82" stopIfTrue="1" operator="lessThan">
      <formula>-0.03</formula>
    </cfRule>
  </conditionalFormatting>
  <conditionalFormatting sqref="I112:I114">
    <cfRule type="cellIs" dxfId="695" priority="105" operator="greaterThan">
      <formula>0.03</formula>
    </cfRule>
    <cfRule type="cellIs" dxfId="694" priority="106" stopIfTrue="1" operator="lessThan">
      <formula>-0.03</formula>
    </cfRule>
  </conditionalFormatting>
  <conditionalFormatting sqref="I112:I114">
    <cfRule type="cellIs" dxfId="693" priority="101" operator="greaterThan">
      <formula>0.03</formula>
    </cfRule>
    <cfRule type="cellIs" dxfId="692" priority="102" stopIfTrue="1" operator="lessThan">
      <formula>-0.03</formula>
    </cfRule>
  </conditionalFormatting>
  <conditionalFormatting sqref="I112:I114">
    <cfRule type="cellIs" dxfId="691" priority="103" operator="greaterThan">
      <formula>0.03</formula>
    </cfRule>
    <cfRule type="cellIs" dxfId="690" priority="104" stopIfTrue="1" operator="lessThan">
      <formula>-0.03</formula>
    </cfRule>
  </conditionalFormatting>
  <conditionalFormatting sqref="I111">
    <cfRule type="cellIs" dxfId="689" priority="99" operator="greaterThan">
      <formula>0.03</formula>
    </cfRule>
    <cfRule type="cellIs" dxfId="688" priority="100" stopIfTrue="1" operator="lessThan">
      <formula>-0.03</formula>
    </cfRule>
  </conditionalFormatting>
  <conditionalFormatting sqref="I111">
    <cfRule type="cellIs" dxfId="687" priority="97" operator="greaterThan">
      <formula>0.03</formula>
    </cfRule>
    <cfRule type="cellIs" dxfId="686" priority="98" stopIfTrue="1" operator="lessThan">
      <formula>-0.03</formula>
    </cfRule>
  </conditionalFormatting>
  <conditionalFormatting sqref="I111">
    <cfRule type="cellIs" dxfId="685" priority="95" operator="greaterThan">
      <formula>0.03</formula>
    </cfRule>
    <cfRule type="cellIs" dxfId="684" priority="96" stopIfTrue="1" operator="lessThan">
      <formula>-0.03</formula>
    </cfRule>
  </conditionalFormatting>
  <conditionalFormatting sqref="I111">
    <cfRule type="cellIs" dxfId="683" priority="93" operator="greaterThan">
      <formula>0.03</formula>
    </cfRule>
    <cfRule type="cellIs" dxfId="682" priority="94" stopIfTrue="1" operator="lessThan">
      <formula>-0.03</formula>
    </cfRule>
  </conditionalFormatting>
  <conditionalFormatting sqref="I111">
    <cfRule type="cellIs" dxfId="681" priority="91" operator="greaterThan">
      <formula>0.03</formula>
    </cfRule>
    <cfRule type="cellIs" dxfId="680" priority="92" stopIfTrue="1" operator="lessThan">
      <formula>-0.03</formula>
    </cfRule>
  </conditionalFormatting>
  <conditionalFormatting sqref="I108:I110">
    <cfRule type="cellIs" dxfId="679" priority="79" operator="greaterThan">
      <formula>0.03</formula>
    </cfRule>
    <cfRule type="cellIs" dxfId="678" priority="80" stopIfTrue="1" operator="lessThan">
      <formula>-0.03</formula>
    </cfRule>
  </conditionalFormatting>
  <conditionalFormatting sqref="I108:I110">
    <cfRule type="cellIs" dxfId="677" priority="77" operator="greaterThan">
      <formula>0.03</formula>
    </cfRule>
    <cfRule type="cellIs" dxfId="676" priority="78" stopIfTrue="1" operator="lessThan">
      <formula>-0.03</formula>
    </cfRule>
  </conditionalFormatting>
  <conditionalFormatting sqref="I108:I110">
    <cfRule type="cellIs" dxfId="675" priority="75" operator="greaterThan">
      <formula>0.03</formula>
    </cfRule>
    <cfRule type="cellIs" dxfId="674" priority="76" stopIfTrue="1" operator="lessThan">
      <formula>-0.03</formula>
    </cfRule>
  </conditionalFormatting>
  <conditionalFormatting sqref="I108:I110">
    <cfRule type="cellIs" dxfId="673" priority="73" operator="greaterThan">
      <formula>0.03</formula>
    </cfRule>
    <cfRule type="cellIs" dxfId="672" priority="74" stopIfTrue="1" operator="lessThan">
      <formula>-0.03</formula>
    </cfRule>
  </conditionalFormatting>
  <conditionalFormatting sqref="I108:I110">
    <cfRule type="cellIs" dxfId="671" priority="71" operator="greaterThan">
      <formula>0.03</formula>
    </cfRule>
    <cfRule type="cellIs" dxfId="670" priority="72" stopIfTrue="1" operator="lessThan">
      <formula>-0.03</formula>
    </cfRule>
  </conditionalFormatting>
  <conditionalFormatting sqref="I104:I106">
    <cfRule type="cellIs" dxfId="669" priority="69" operator="greaterThan">
      <formula>0.03</formula>
    </cfRule>
    <cfRule type="cellIs" dxfId="668" priority="70" stopIfTrue="1" operator="lessThan">
      <formula>-0.03</formula>
    </cfRule>
  </conditionalFormatting>
  <conditionalFormatting sqref="I104:I106">
    <cfRule type="cellIs" dxfId="667" priority="67" operator="greaterThan">
      <formula>0.03</formula>
    </cfRule>
    <cfRule type="cellIs" dxfId="666" priority="68" stopIfTrue="1" operator="lessThan">
      <formula>-0.03</formula>
    </cfRule>
  </conditionalFormatting>
  <conditionalFormatting sqref="I107">
    <cfRule type="cellIs" dxfId="665" priority="49" operator="greaterThan">
      <formula>0.03</formula>
    </cfRule>
    <cfRule type="cellIs" dxfId="664" priority="50" stopIfTrue="1" operator="lessThan">
      <formula>-0.03</formula>
    </cfRule>
  </conditionalFormatting>
  <conditionalFormatting sqref="I107">
    <cfRule type="cellIs" dxfId="663" priority="47" operator="greaterThan">
      <formula>0.03</formula>
    </cfRule>
    <cfRule type="cellIs" dxfId="662" priority="48" stopIfTrue="1" operator="lessThan">
      <formula>-0.03</formula>
    </cfRule>
  </conditionalFormatting>
  <conditionalFormatting sqref="I107">
    <cfRule type="cellIs" dxfId="661" priority="45" operator="greaterThan">
      <formula>0.03</formula>
    </cfRule>
    <cfRule type="cellIs" dxfId="660" priority="46" stopIfTrue="1" operator="lessThan">
      <formula>-0.03</formula>
    </cfRule>
  </conditionalFormatting>
  <conditionalFormatting sqref="I107">
    <cfRule type="cellIs" dxfId="659" priority="43" operator="greaterThan">
      <formula>0.03</formula>
    </cfRule>
    <cfRule type="cellIs" dxfId="658" priority="44" stopIfTrue="1" operator="lessThan">
      <formula>-0.03</formula>
    </cfRule>
  </conditionalFormatting>
  <conditionalFormatting sqref="I107">
    <cfRule type="cellIs" dxfId="657" priority="41" operator="greaterThan">
      <formula>0.03</formula>
    </cfRule>
    <cfRule type="cellIs" dxfId="656" priority="42" stopIfTrue="1" operator="lessThan">
      <formula>-0.03</formula>
    </cfRule>
  </conditionalFormatting>
  <conditionalFormatting sqref="I104:I106">
    <cfRule type="cellIs" dxfId="655" priority="65" operator="greaterThan">
      <formula>0.03</formula>
    </cfRule>
    <cfRule type="cellIs" dxfId="654" priority="66" stopIfTrue="1" operator="lessThan">
      <formula>-0.03</formula>
    </cfRule>
  </conditionalFormatting>
  <conditionalFormatting sqref="I104:I106">
    <cfRule type="cellIs" dxfId="653" priority="61" operator="greaterThan">
      <formula>0.03</formula>
    </cfRule>
    <cfRule type="cellIs" dxfId="652" priority="62" stopIfTrue="1" operator="lessThan">
      <formula>-0.03</formula>
    </cfRule>
  </conditionalFormatting>
  <conditionalFormatting sqref="I104:I106">
    <cfRule type="cellIs" dxfId="651" priority="63" operator="greaterThan">
      <formula>0.03</formula>
    </cfRule>
    <cfRule type="cellIs" dxfId="650" priority="64" stopIfTrue="1" operator="lessThan">
      <formula>-0.03</formula>
    </cfRule>
  </conditionalFormatting>
  <conditionalFormatting sqref="I103">
    <cfRule type="cellIs" dxfId="649" priority="59" operator="greaterThan">
      <formula>0.03</formula>
    </cfRule>
    <cfRule type="cellIs" dxfId="648" priority="60" stopIfTrue="1" operator="lessThan">
      <formula>-0.03</formula>
    </cfRule>
  </conditionalFormatting>
  <conditionalFormatting sqref="I103">
    <cfRule type="cellIs" dxfId="647" priority="57" operator="greaterThan">
      <formula>0.03</formula>
    </cfRule>
    <cfRule type="cellIs" dxfId="646" priority="58" stopIfTrue="1" operator="lessThan">
      <formula>-0.03</formula>
    </cfRule>
  </conditionalFormatting>
  <conditionalFormatting sqref="I103">
    <cfRule type="cellIs" dxfId="645" priority="55" operator="greaterThan">
      <formula>0.03</formula>
    </cfRule>
    <cfRule type="cellIs" dxfId="644" priority="56" stopIfTrue="1" operator="lessThan">
      <formula>-0.03</formula>
    </cfRule>
  </conditionalFormatting>
  <conditionalFormatting sqref="I103">
    <cfRule type="cellIs" dxfId="643" priority="53" operator="greaterThan">
      <formula>0.03</formula>
    </cfRule>
    <cfRule type="cellIs" dxfId="642" priority="54" stopIfTrue="1" operator="lessThan">
      <formula>-0.03</formula>
    </cfRule>
  </conditionalFormatting>
  <conditionalFormatting sqref="I103">
    <cfRule type="cellIs" dxfId="641" priority="51" operator="greaterThan">
      <formula>0.03</formula>
    </cfRule>
    <cfRule type="cellIs" dxfId="640" priority="52" stopIfTrue="1" operator="lessThan">
      <formula>-0.03</formula>
    </cfRule>
  </conditionalFormatting>
  <conditionalFormatting sqref="I116:I118">
    <cfRule type="cellIs" dxfId="639" priority="39" operator="greaterThan">
      <formula>0.03</formula>
    </cfRule>
    <cfRule type="cellIs" dxfId="638" priority="40" stopIfTrue="1" operator="lessThan">
      <formula>-0.03</formula>
    </cfRule>
  </conditionalFormatting>
  <conditionalFormatting sqref="I116:I118">
    <cfRule type="cellIs" dxfId="637" priority="37" operator="greaterThan">
      <formula>0.03</formula>
    </cfRule>
    <cfRule type="cellIs" dxfId="636" priority="38" stopIfTrue="1" operator="lessThan">
      <formula>-0.03</formula>
    </cfRule>
  </conditionalFormatting>
  <conditionalFormatting sqref="I116:I118">
    <cfRule type="cellIs" dxfId="635" priority="35" operator="greaterThan">
      <formula>0.03</formula>
    </cfRule>
    <cfRule type="cellIs" dxfId="634" priority="36" stopIfTrue="1" operator="lessThan">
      <formula>-0.03</formula>
    </cfRule>
  </conditionalFormatting>
  <conditionalFormatting sqref="I116:I118">
    <cfRule type="cellIs" dxfId="633" priority="33" operator="greaterThan">
      <formula>0.03</formula>
    </cfRule>
    <cfRule type="cellIs" dxfId="632" priority="34" stopIfTrue="1" operator="lessThan">
      <formula>-0.03</formula>
    </cfRule>
  </conditionalFormatting>
  <conditionalFormatting sqref="I116:I118">
    <cfRule type="cellIs" dxfId="631" priority="31" operator="greaterThan">
      <formula>0.03</formula>
    </cfRule>
    <cfRule type="cellIs" dxfId="630" priority="32" stopIfTrue="1" operator="lessThan">
      <formula>-0.03</formula>
    </cfRule>
  </conditionalFormatting>
  <conditionalFormatting sqref="I115">
    <cfRule type="cellIs" dxfId="629" priority="29" operator="greaterThan">
      <formula>0.03</formula>
    </cfRule>
    <cfRule type="cellIs" dxfId="628" priority="30" stopIfTrue="1" operator="lessThan">
      <formula>-0.03</formula>
    </cfRule>
  </conditionalFormatting>
  <conditionalFormatting sqref="I115">
    <cfRule type="cellIs" dxfId="627" priority="27" operator="greaterThan">
      <formula>0.03</formula>
    </cfRule>
    <cfRule type="cellIs" dxfId="626" priority="28" stopIfTrue="1" operator="lessThan">
      <formula>-0.03</formula>
    </cfRule>
  </conditionalFormatting>
  <conditionalFormatting sqref="I115">
    <cfRule type="cellIs" dxfId="625" priority="25" operator="greaterThan">
      <formula>0.03</formula>
    </cfRule>
    <cfRule type="cellIs" dxfId="624" priority="26" stopIfTrue="1" operator="lessThan">
      <formula>-0.03</formula>
    </cfRule>
  </conditionalFormatting>
  <conditionalFormatting sqref="I115">
    <cfRule type="cellIs" dxfId="623" priority="23" operator="greaterThan">
      <formula>0.03</formula>
    </cfRule>
    <cfRule type="cellIs" dxfId="622" priority="24" stopIfTrue="1" operator="lessThan">
      <formula>-0.03</formula>
    </cfRule>
  </conditionalFormatting>
  <conditionalFormatting sqref="I115">
    <cfRule type="cellIs" dxfId="621" priority="21" operator="greaterThan">
      <formula>0.03</formula>
    </cfRule>
    <cfRule type="cellIs" dxfId="620" priority="22" stopIfTrue="1" operator="lessThan">
      <formula>-0.03</formula>
    </cfRule>
  </conditionalFormatting>
  <conditionalFormatting sqref="I123">
    <cfRule type="cellIs" dxfId="619" priority="15" operator="greaterThan">
      <formula>0.03</formula>
    </cfRule>
    <cfRule type="cellIs" dxfId="618" priority="16" stopIfTrue="1" operator="lessThan">
      <formula>-0.03</formula>
    </cfRule>
  </conditionalFormatting>
  <conditionalFormatting sqref="I123">
    <cfRule type="cellIs" dxfId="617" priority="13" operator="greaterThan">
      <formula>0.03</formula>
    </cfRule>
    <cfRule type="cellIs" dxfId="616" priority="14" stopIfTrue="1" operator="lessThan">
      <formula>-0.03</formula>
    </cfRule>
  </conditionalFormatting>
  <conditionalFormatting sqref="I123">
    <cfRule type="cellIs" dxfId="615" priority="11" operator="greaterThan">
      <formula>0.03</formula>
    </cfRule>
    <cfRule type="cellIs" dxfId="614" priority="12" stopIfTrue="1" operator="lessThan">
      <formula>-0.03</formula>
    </cfRule>
  </conditionalFormatting>
  <conditionalFormatting sqref="I123">
    <cfRule type="cellIs" dxfId="613" priority="19" operator="greaterThan">
      <formula>0.03</formula>
    </cfRule>
    <cfRule type="cellIs" dxfId="612" priority="20" stopIfTrue="1" operator="lessThan">
      <formula>-0.03</formula>
    </cfRule>
  </conditionalFormatting>
  <conditionalFormatting sqref="I123">
    <cfRule type="cellIs" dxfId="611" priority="17" operator="greaterThan">
      <formula>0.03</formula>
    </cfRule>
    <cfRule type="cellIs" dxfId="610" priority="18" stopIfTrue="1" operator="lessThan">
      <formula>-0.03</formula>
    </cfRule>
  </conditionalFormatting>
  <conditionalFormatting sqref="I125">
    <cfRule type="cellIs" dxfId="609" priority="9" operator="greaterThan">
      <formula>0.03</formula>
    </cfRule>
    <cfRule type="cellIs" dxfId="608" priority="10" stopIfTrue="1" operator="lessThan">
      <formula>-0.03</formula>
    </cfRule>
  </conditionalFormatting>
  <conditionalFormatting sqref="I125">
    <cfRule type="cellIs" dxfId="607" priority="7" operator="greaterThan">
      <formula>0.03</formula>
    </cfRule>
    <cfRule type="cellIs" dxfId="606" priority="8" stopIfTrue="1" operator="lessThan">
      <formula>-0.03</formula>
    </cfRule>
  </conditionalFormatting>
  <conditionalFormatting sqref="I125">
    <cfRule type="cellIs" dxfId="605" priority="5" operator="greaterThan">
      <formula>0.03</formula>
    </cfRule>
    <cfRule type="cellIs" dxfId="604" priority="6" stopIfTrue="1" operator="lessThan">
      <formula>-0.03</formula>
    </cfRule>
  </conditionalFormatting>
  <conditionalFormatting sqref="I125">
    <cfRule type="cellIs" dxfId="603" priority="3" operator="greaterThan">
      <formula>0.03</formula>
    </cfRule>
    <cfRule type="cellIs" dxfId="602" priority="4" stopIfTrue="1" operator="lessThan">
      <formula>-0.03</formula>
    </cfRule>
  </conditionalFormatting>
  <conditionalFormatting sqref="I125">
    <cfRule type="cellIs" dxfId="601" priority="1" operator="greaterThan">
      <formula>0.03</formula>
    </cfRule>
    <cfRule type="cellIs" dxfId="600" priority="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25035-568D-4E93-9C35-68D34CDB3180}">
  <dimension ref="A1:I128"/>
  <sheetViews>
    <sheetView tabSelected="1" topLeftCell="A97" zoomScale="85" zoomScaleNormal="85" workbookViewId="0">
      <selection activeCell="M116" sqref="M116"/>
    </sheetView>
  </sheetViews>
  <sheetFormatPr defaultColWidth="8.875" defaultRowHeight="14.25"/>
  <cols>
    <col min="2" max="2" width="25.375" bestFit="1" customWidth="1"/>
    <col min="3" max="3" width="5.875" bestFit="1" customWidth="1"/>
    <col min="6" max="6" width="3.625" bestFit="1" customWidth="1"/>
  </cols>
  <sheetData>
    <row r="1" spans="1:9" ht="15" thickBot="1">
      <c r="A1" s="1"/>
      <c r="B1" s="1"/>
      <c r="C1" s="1"/>
      <c r="D1" s="28" t="s">
        <v>25</v>
      </c>
      <c r="E1" s="29"/>
      <c r="F1" s="1"/>
      <c r="G1" s="28" t="s">
        <v>26</v>
      </c>
      <c r="H1" s="29"/>
      <c r="I1" s="25"/>
    </row>
    <row r="2" spans="1:9" ht="15" thickBot="1">
      <c r="A2" s="2"/>
      <c r="B2" s="3"/>
      <c r="C2" s="22" t="s">
        <v>24</v>
      </c>
      <c r="D2" s="13" t="s">
        <v>0</v>
      </c>
      <c r="E2" s="5" t="s">
        <v>1</v>
      </c>
      <c r="F2" s="22" t="s">
        <v>24</v>
      </c>
      <c r="G2" s="13" t="s">
        <v>0</v>
      </c>
      <c r="H2" s="5" t="s">
        <v>1</v>
      </c>
      <c r="I2" s="13" t="s">
        <v>3</v>
      </c>
    </row>
    <row r="3" spans="1:9">
      <c r="A3" s="20" t="s">
        <v>4</v>
      </c>
      <c r="B3" s="30" t="s">
        <v>40</v>
      </c>
      <c r="C3" s="6">
        <v>27</v>
      </c>
      <c r="D3" s="24">
        <v>1.4555844907407399E-2</v>
      </c>
      <c r="E3" s="24">
        <v>38.838264465332003</v>
      </c>
      <c r="F3" s="6">
        <v>27</v>
      </c>
      <c r="G3" s="24">
        <v>1.3432195216049299E-2</v>
      </c>
      <c r="H3" s="24">
        <v>39.193954467773402</v>
      </c>
      <c r="I3" s="7">
        <f>bdrate($D3:$D6,E3:E6,$G3:$G6,H3:H6)</f>
        <v>-0.46024120074001718</v>
      </c>
    </row>
    <row r="4" spans="1:9">
      <c r="A4" s="14" t="s">
        <v>5</v>
      </c>
      <c r="B4" s="31"/>
      <c r="C4" s="8">
        <v>32</v>
      </c>
      <c r="D4" s="24">
        <v>9.5942644032921808E-3</v>
      </c>
      <c r="E4" s="24">
        <v>38.599372863769503</v>
      </c>
      <c r="F4" s="8">
        <v>32</v>
      </c>
      <c r="G4" s="24">
        <v>8.56770833333333E-3</v>
      </c>
      <c r="H4" s="24">
        <v>38.997509002685497</v>
      </c>
      <c r="I4" s="9"/>
    </row>
    <row r="5" spans="1:9">
      <c r="A5" s="8"/>
      <c r="B5" s="31"/>
      <c r="C5" s="8">
        <v>38</v>
      </c>
      <c r="D5" s="24">
        <v>6.7980002572016404E-3</v>
      </c>
      <c r="E5" s="24">
        <v>38.334957122802699</v>
      </c>
      <c r="F5" s="8">
        <v>38</v>
      </c>
      <c r="G5" s="24">
        <v>6.1715534979423798E-3</v>
      </c>
      <c r="H5" s="24">
        <v>38.787578582763601</v>
      </c>
      <c r="I5" s="9"/>
    </row>
    <row r="6" spans="1:9" ht="15" thickBot="1">
      <c r="A6" s="8"/>
      <c r="B6" s="32"/>
      <c r="C6" s="10">
        <v>45</v>
      </c>
      <c r="D6" s="24">
        <v>5.0355259773662503E-3</v>
      </c>
      <c r="E6" s="24">
        <v>37.820079803466797</v>
      </c>
      <c r="F6" s="10">
        <v>45</v>
      </c>
      <c r="G6" s="24">
        <v>4.6797839506172801E-3</v>
      </c>
      <c r="H6" s="24">
        <v>38.381027221679602</v>
      </c>
      <c r="I6" s="2"/>
    </row>
    <row r="7" spans="1:9">
      <c r="A7" s="8"/>
      <c r="B7" s="30" t="s">
        <v>41</v>
      </c>
      <c r="C7" s="6">
        <v>27</v>
      </c>
      <c r="D7" s="24">
        <v>5.7805909207818897E-2</v>
      </c>
      <c r="E7" s="24">
        <v>42.795467376708899</v>
      </c>
      <c r="F7" s="6">
        <v>27</v>
      </c>
      <c r="G7" s="24">
        <v>5.7805909000000003E-2</v>
      </c>
      <c r="H7" s="24">
        <v>42.795467379999998</v>
      </c>
      <c r="I7" s="7">
        <f>bdrate($D7:$D10,E7:E10,$G7:$G10,H7:H10)</f>
        <v>6.1336651313581569E-9</v>
      </c>
    </row>
    <row r="8" spans="1:9">
      <c r="A8" s="8"/>
      <c r="B8" s="31"/>
      <c r="C8" s="8">
        <v>32</v>
      </c>
      <c r="D8" s="24">
        <v>4.3590213477366198E-2</v>
      </c>
      <c r="E8" s="24">
        <v>41.887130737304602</v>
      </c>
      <c r="F8" s="8">
        <v>32</v>
      </c>
      <c r="G8" s="24">
        <v>4.3590213000000003E-2</v>
      </c>
      <c r="H8" s="24">
        <v>41.887130740000003</v>
      </c>
      <c r="I8" s="9"/>
    </row>
    <row r="9" spans="1:9">
      <c r="A9" s="8"/>
      <c r="B9" s="31"/>
      <c r="C9" s="8">
        <v>38</v>
      </c>
      <c r="D9" s="24">
        <v>3.3559831532921802E-2</v>
      </c>
      <c r="E9" s="24">
        <v>40.864055633544901</v>
      </c>
      <c r="F9" s="8">
        <v>38</v>
      </c>
      <c r="G9" s="24">
        <v>3.3559831999999998E-2</v>
      </c>
      <c r="H9" s="24">
        <v>40.864055630000003</v>
      </c>
      <c r="I9" s="9"/>
    </row>
    <row r="10" spans="1:9" ht="15" thickBot="1">
      <c r="A10" s="8"/>
      <c r="B10" s="32"/>
      <c r="C10" s="10">
        <v>45</v>
      </c>
      <c r="D10" s="24">
        <v>2.4202192644032901E-2</v>
      </c>
      <c r="E10" s="24">
        <v>39.258758544921797</v>
      </c>
      <c r="F10" s="10">
        <v>45</v>
      </c>
      <c r="G10" s="24">
        <v>2.4202193E-2</v>
      </c>
      <c r="H10" s="24">
        <v>39.258758540000002</v>
      </c>
      <c r="I10" s="9"/>
    </row>
    <row r="11" spans="1:9">
      <c r="A11" s="14"/>
      <c r="B11" s="30" t="s">
        <v>42</v>
      </c>
      <c r="C11" s="6">
        <v>27</v>
      </c>
      <c r="D11" s="24">
        <v>3.1047614454732499E-2</v>
      </c>
      <c r="E11" s="24">
        <v>39.641876220703097</v>
      </c>
      <c r="F11" s="6">
        <v>27</v>
      </c>
      <c r="G11" s="24">
        <v>3.0139049639917599E-2</v>
      </c>
      <c r="H11" s="24">
        <v>40.655799865722599</v>
      </c>
      <c r="I11" s="7">
        <f>bdrate($D11:$D14,E11:E14,$G11:$G14,H11:H14)</f>
        <v>-0.34435977716150623</v>
      </c>
    </row>
    <row r="12" spans="1:9">
      <c r="A12" s="14"/>
      <c r="B12" s="31"/>
      <c r="C12" s="8">
        <v>32</v>
      </c>
      <c r="D12" s="24">
        <v>2.24662422839506E-2</v>
      </c>
      <c r="E12" s="24">
        <v>38.940731048583899</v>
      </c>
      <c r="F12" s="8">
        <v>32</v>
      </c>
      <c r="G12" s="24">
        <v>2.2099086934156301E-2</v>
      </c>
      <c r="H12" s="24">
        <v>40.119056701660099</v>
      </c>
      <c r="I12" s="9"/>
    </row>
    <row r="13" spans="1:9">
      <c r="A13" s="8"/>
      <c r="B13" s="31"/>
      <c r="C13" s="8">
        <v>38</v>
      </c>
      <c r="D13" s="24">
        <v>1.67246977880658E-2</v>
      </c>
      <c r="E13" s="24">
        <v>38.107261657714801</v>
      </c>
      <c r="F13" s="8">
        <v>38</v>
      </c>
      <c r="G13" s="24">
        <v>1.66742219650205E-2</v>
      </c>
      <c r="H13" s="24">
        <v>39.386680603027301</v>
      </c>
      <c r="I13" s="9"/>
    </row>
    <row r="14" spans="1:9" ht="15" thickBot="1">
      <c r="A14" s="8"/>
      <c r="B14" s="32"/>
      <c r="C14" s="10">
        <v>45</v>
      </c>
      <c r="D14" s="24">
        <v>1.17605452674897E-2</v>
      </c>
      <c r="E14" s="24">
        <v>36.515743255615199</v>
      </c>
      <c r="F14" s="10">
        <v>45</v>
      </c>
      <c r="G14" s="24">
        <v>1.20010288065843E-2</v>
      </c>
      <c r="H14" s="24">
        <v>38.0711669921875</v>
      </c>
      <c r="I14" s="2"/>
    </row>
    <row r="15" spans="1:9">
      <c r="A15" s="8"/>
      <c r="B15" s="30" t="s">
        <v>43</v>
      </c>
      <c r="C15" s="6">
        <v>27</v>
      </c>
      <c r="D15" s="24">
        <v>0.52698495370370302</v>
      </c>
      <c r="E15" s="24">
        <v>37.105239868163999</v>
      </c>
      <c r="F15" s="6">
        <v>27</v>
      </c>
      <c r="G15" s="24">
        <v>0.52698495370370302</v>
      </c>
      <c r="H15" s="24">
        <v>37.105239868163999</v>
      </c>
      <c r="I15" s="7">
        <f>bdrate($D15:$D18,E15:E18,$G15:$G18,H15:H18)</f>
        <v>0</v>
      </c>
    </row>
    <row r="16" spans="1:9">
      <c r="A16" s="8"/>
      <c r="B16" s="31"/>
      <c r="C16" s="8">
        <v>32</v>
      </c>
      <c r="D16" s="24">
        <v>0.41040107381687202</v>
      </c>
      <c r="E16" s="24">
        <v>36.0140380859375</v>
      </c>
      <c r="F16" s="8">
        <v>32</v>
      </c>
      <c r="G16" s="24">
        <v>0.41040107381687202</v>
      </c>
      <c r="H16" s="24">
        <v>36.0140380859375</v>
      </c>
      <c r="I16" s="9"/>
    </row>
    <row r="17" spans="1:9">
      <c r="A17" s="8"/>
      <c r="B17" s="31"/>
      <c r="C17" s="8">
        <v>38</v>
      </c>
      <c r="D17" s="24">
        <v>0.30743023405349701</v>
      </c>
      <c r="E17" s="24">
        <v>34.716564178466797</v>
      </c>
      <c r="F17" s="8">
        <v>38</v>
      </c>
      <c r="G17" s="24">
        <v>0.30743023405349701</v>
      </c>
      <c r="H17" s="24">
        <v>34.716564178466797</v>
      </c>
      <c r="I17" s="9"/>
    </row>
    <row r="18" spans="1:9" ht="15" thickBot="1">
      <c r="A18" s="8"/>
      <c r="B18" s="32"/>
      <c r="C18" s="10">
        <v>45</v>
      </c>
      <c r="D18" s="24">
        <v>0.199766750257201</v>
      </c>
      <c r="E18" s="24">
        <v>32.890213012695298</v>
      </c>
      <c r="F18" s="10">
        <v>45</v>
      </c>
      <c r="G18" s="24">
        <v>0.199766750257201</v>
      </c>
      <c r="H18" s="24">
        <v>32.890213012695298</v>
      </c>
      <c r="I18" s="9"/>
    </row>
    <row r="19" spans="1:9">
      <c r="A19" s="8"/>
      <c r="B19" s="30" t="s">
        <v>44</v>
      </c>
      <c r="C19" s="6">
        <v>27</v>
      </c>
      <c r="D19" s="24">
        <v>0.17752250514403201</v>
      </c>
      <c r="E19" s="24">
        <v>35.818561553955</v>
      </c>
      <c r="F19" s="6">
        <v>27</v>
      </c>
      <c r="G19" s="24">
        <v>0.17752250514403201</v>
      </c>
      <c r="H19" s="24">
        <v>35.818561553955</v>
      </c>
      <c r="I19" s="7">
        <f>bdrate($D19:$D22,E19:E22,$G19:$G22,H19:H22)</f>
        <v>0</v>
      </c>
    </row>
    <row r="20" spans="1:9">
      <c r="A20" s="8"/>
      <c r="B20" s="31"/>
      <c r="C20" s="8">
        <v>32</v>
      </c>
      <c r="D20" s="24">
        <v>0.123953832304526</v>
      </c>
      <c r="E20" s="24">
        <v>35.2699584960937</v>
      </c>
      <c r="F20" s="8">
        <v>32</v>
      </c>
      <c r="G20" s="24">
        <v>0.123953832304526</v>
      </c>
      <c r="H20" s="24">
        <v>35.2699584960937</v>
      </c>
      <c r="I20" s="9"/>
    </row>
    <row r="21" spans="1:9">
      <c r="A21" s="8"/>
      <c r="B21" s="31"/>
      <c r="C21" s="8">
        <v>38</v>
      </c>
      <c r="D21" s="24">
        <v>8.8026941872427905E-2</v>
      </c>
      <c r="E21" s="24">
        <v>34.617118835449197</v>
      </c>
      <c r="F21" s="8">
        <v>38</v>
      </c>
      <c r="G21" s="24">
        <v>8.8026941872427905E-2</v>
      </c>
      <c r="H21" s="24">
        <v>34.617118835449197</v>
      </c>
      <c r="I21" s="9"/>
    </row>
    <row r="22" spans="1:9" ht="15" thickBot="1">
      <c r="A22" s="8"/>
      <c r="B22" s="32"/>
      <c r="C22" s="10">
        <v>45</v>
      </c>
      <c r="D22" s="24">
        <v>5.6493698559670701E-2</v>
      </c>
      <c r="E22" s="24">
        <v>33.535865783691399</v>
      </c>
      <c r="F22" s="10">
        <v>45</v>
      </c>
      <c r="G22" s="24">
        <v>5.6493698559670701E-2</v>
      </c>
      <c r="H22" s="24">
        <v>33.535865783691399</v>
      </c>
      <c r="I22" s="2"/>
    </row>
    <row r="23" spans="1:9">
      <c r="A23" s="20" t="s">
        <v>6</v>
      </c>
      <c r="B23" s="30" t="s">
        <v>45</v>
      </c>
      <c r="C23" s="6">
        <v>27</v>
      </c>
      <c r="D23" s="24">
        <v>8.0077642746913494E-2</v>
      </c>
      <c r="E23" s="24">
        <v>30.878105163574201</v>
      </c>
      <c r="F23" s="6">
        <v>27</v>
      </c>
      <c r="G23" s="24">
        <v>0.18566165123456699</v>
      </c>
      <c r="H23" s="24">
        <v>31.1597499847412</v>
      </c>
      <c r="I23" s="7">
        <f>bdrate($D23:$D26,E23:E26,$G23:$G26,H23:H26)</f>
        <v>-0.12713216447330855</v>
      </c>
    </row>
    <row r="24" spans="1:9">
      <c r="A24" s="14" t="s">
        <v>7</v>
      </c>
      <c r="B24" s="31"/>
      <c r="C24" s="8">
        <v>32</v>
      </c>
      <c r="D24" s="24">
        <v>4.77723122427983E-2</v>
      </c>
      <c r="E24" s="24">
        <v>30.776983261108398</v>
      </c>
      <c r="F24" s="8">
        <v>32</v>
      </c>
      <c r="G24" s="24">
        <v>5.4970421810699499E-2</v>
      </c>
      <c r="H24" s="24">
        <v>30.8111457824707</v>
      </c>
      <c r="I24" s="9"/>
    </row>
    <row r="25" spans="1:9">
      <c r="A25" s="8"/>
      <c r="B25" s="31"/>
      <c r="C25" s="8">
        <v>38</v>
      </c>
      <c r="D25" s="24">
        <v>3.3502764917695403E-2</v>
      </c>
      <c r="E25" s="24">
        <v>30.685207366943299</v>
      </c>
      <c r="F25" s="8">
        <v>38</v>
      </c>
      <c r="G25" s="24">
        <v>3.5008198302469103E-2</v>
      </c>
      <c r="H25" s="24">
        <v>30.733701705932599</v>
      </c>
      <c r="I25" s="9"/>
    </row>
    <row r="26" spans="1:9" ht="15" thickBot="1">
      <c r="A26" s="8"/>
      <c r="B26" s="32"/>
      <c r="C26" s="10">
        <v>45</v>
      </c>
      <c r="D26" s="24">
        <v>1.8115033436213901E-2</v>
      </c>
      <c r="E26" s="24">
        <v>30.5111579895019</v>
      </c>
      <c r="F26" s="10">
        <v>45</v>
      </c>
      <c r="G26" s="24">
        <v>1.8761252572016399E-2</v>
      </c>
      <c r="H26" s="24">
        <v>30.631546020507798</v>
      </c>
      <c r="I26" s="2"/>
    </row>
    <row r="27" spans="1:9">
      <c r="A27" s="8"/>
      <c r="B27" s="30" t="s">
        <v>46</v>
      </c>
      <c r="C27" s="6">
        <v>27</v>
      </c>
      <c r="D27" s="24">
        <v>0.15975806970164599</v>
      </c>
      <c r="E27" s="24">
        <v>34.802757263183501</v>
      </c>
      <c r="F27" s="6">
        <v>27</v>
      </c>
      <c r="G27" s="24">
        <v>0.171421521347736</v>
      </c>
      <c r="H27" s="24">
        <v>34.898895263671797</v>
      </c>
      <c r="I27" s="7">
        <f>bdrate($D27:$D30,E27:E30,$G27:$G30,H27:H30)</f>
        <v>-5.6116507304573515E-2</v>
      </c>
    </row>
    <row r="28" spans="1:9">
      <c r="A28" s="8"/>
      <c r="B28" s="31"/>
      <c r="C28" s="8">
        <v>32</v>
      </c>
      <c r="D28" s="24">
        <v>9.3479938271604904E-2</v>
      </c>
      <c r="E28" s="24">
        <v>34.2859497070312</v>
      </c>
      <c r="F28" s="8">
        <v>32</v>
      </c>
      <c r="G28" s="24">
        <v>9.8895318930041096E-2</v>
      </c>
      <c r="H28" s="24">
        <v>34.396903991699197</v>
      </c>
      <c r="I28" s="9"/>
    </row>
    <row r="29" spans="1:9">
      <c r="A29" s="8"/>
      <c r="B29" s="31"/>
      <c r="C29" s="8">
        <v>38</v>
      </c>
      <c r="D29" s="24">
        <v>5.8932934670781797E-2</v>
      </c>
      <c r="E29" s="24">
        <v>33.775238037109297</v>
      </c>
      <c r="F29" s="8">
        <v>38</v>
      </c>
      <c r="G29" s="24">
        <v>6.2123360339506099E-2</v>
      </c>
      <c r="H29" s="24">
        <v>33.905967712402301</v>
      </c>
      <c r="I29" s="9"/>
    </row>
    <row r="30" spans="1:9" ht="15" thickBot="1">
      <c r="A30" s="8"/>
      <c r="B30" s="32"/>
      <c r="C30" s="10">
        <v>45</v>
      </c>
      <c r="D30" s="24">
        <v>3.2999935699588402E-2</v>
      </c>
      <c r="E30" s="24">
        <v>33.0365600585937</v>
      </c>
      <c r="F30" s="10">
        <v>45</v>
      </c>
      <c r="G30" s="24">
        <v>3.48455182613168E-2</v>
      </c>
      <c r="H30" s="24">
        <v>33.203079223632798</v>
      </c>
      <c r="I30" s="2"/>
    </row>
    <row r="31" spans="1:9">
      <c r="A31" s="14"/>
      <c r="B31" s="30" t="s">
        <v>47</v>
      </c>
      <c r="C31" s="6">
        <v>27</v>
      </c>
      <c r="D31" s="24">
        <v>4.03620113168724E-2</v>
      </c>
      <c r="E31" s="24">
        <v>36.704124450683501</v>
      </c>
      <c r="F31" s="6">
        <v>27</v>
      </c>
      <c r="G31" s="24">
        <v>4.03620113168724E-2</v>
      </c>
      <c r="H31" s="24">
        <v>36.704124450683501</v>
      </c>
      <c r="I31" s="7">
        <f>bdrate($D31:$D34,E31:E34,$G31:$G34,H31:H34)</f>
        <v>0</v>
      </c>
    </row>
    <row r="32" spans="1:9">
      <c r="A32" s="14"/>
      <c r="B32" s="31"/>
      <c r="C32" s="8">
        <v>32</v>
      </c>
      <c r="D32" s="24">
        <v>2.44827031893004E-2</v>
      </c>
      <c r="E32" s="24">
        <v>36.302364349365199</v>
      </c>
      <c r="F32" s="8">
        <v>32</v>
      </c>
      <c r="G32" s="24">
        <v>2.44827031893004E-2</v>
      </c>
      <c r="H32" s="24">
        <v>36.302364349365199</v>
      </c>
      <c r="I32" s="9"/>
    </row>
    <row r="33" spans="1:9">
      <c r="A33" s="8"/>
      <c r="B33" s="31"/>
      <c r="C33" s="8">
        <v>38</v>
      </c>
      <c r="D33" s="24">
        <v>1.6819540895061699E-2</v>
      </c>
      <c r="E33" s="24">
        <v>35.928104400634702</v>
      </c>
      <c r="F33" s="8">
        <v>38</v>
      </c>
      <c r="G33" s="24">
        <v>1.6819540895061699E-2</v>
      </c>
      <c r="H33" s="24">
        <v>35.928104400634702</v>
      </c>
      <c r="I33" s="9"/>
    </row>
    <row r="34" spans="1:9" ht="15" thickBot="1">
      <c r="A34" s="8"/>
      <c r="B34" s="32"/>
      <c r="C34" s="10">
        <v>45</v>
      </c>
      <c r="D34" s="24">
        <v>1.1445312500000001E-2</v>
      </c>
      <c r="E34" s="24">
        <v>35.261314392089801</v>
      </c>
      <c r="F34" s="10">
        <v>45</v>
      </c>
      <c r="G34" s="24">
        <v>1.1445312500000001E-2</v>
      </c>
      <c r="H34" s="24">
        <v>35.261314392089801</v>
      </c>
      <c r="I34" s="2"/>
    </row>
    <row r="35" spans="1:9">
      <c r="A35" s="8"/>
      <c r="B35" s="30" t="s">
        <v>48</v>
      </c>
      <c r="C35" s="6">
        <v>27</v>
      </c>
      <c r="D35" s="24">
        <v>0.30679253472222201</v>
      </c>
      <c r="E35" s="24">
        <v>34.508682250976499</v>
      </c>
      <c r="F35" s="6">
        <v>27</v>
      </c>
      <c r="G35" s="24">
        <v>0.28396395961934101</v>
      </c>
      <c r="H35" s="24">
        <v>34.764385223388601</v>
      </c>
      <c r="I35" s="7">
        <f>bdrate($D35:$D38,E35:E38,$G35:$G38,H35:H38)</f>
        <v>-0.3034734502556834</v>
      </c>
    </row>
    <row r="36" spans="1:9">
      <c r="A36" s="8"/>
      <c r="B36" s="31"/>
      <c r="C36" s="8">
        <v>32</v>
      </c>
      <c r="D36" s="24">
        <v>0.181917438271604</v>
      </c>
      <c r="E36" s="24">
        <v>33.335872650146399</v>
      </c>
      <c r="F36" s="8">
        <v>32</v>
      </c>
      <c r="G36" s="24">
        <v>0.163501639660493</v>
      </c>
      <c r="H36" s="24">
        <v>33.821182250976499</v>
      </c>
      <c r="I36" s="9"/>
    </row>
    <row r="37" spans="1:9">
      <c r="A37" s="8"/>
      <c r="B37" s="31"/>
      <c r="C37" s="8">
        <v>38</v>
      </c>
      <c r="D37" s="24">
        <v>0.114017650462962</v>
      </c>
      <c r="E37" s="24">
        <v>32.082839965820298</v>
      </c>
      <c r="F37" s="8">
        <v>38</v>
      </c>
      <c r="G37" s="24">
        <v>0.105660365226337</v>
      </c>
      <c r="H37" s="24">
        <v>32.939277648925703</v>
      </c>
      <c r="I37" s="9"/>
    </row>
    <row r="38" spans="1:9" ht="15" thickBot="1">
      <c r="A38" s="8"/>
      <c r="B38" s="32"/>
      <c r="C38" s="10">
        <v>45</v>
      </c>
      <c r="D38" s="24">
        <v>6.5111078960905303E-2</v>
      </c>
      <c r="E38" s="24">
        <v>30.254421234130799</v>
      </c>
      <c r="F38" s="10">
        <v>45</v>
      </c>
      <c r="G38" s="24">
        <v>6.3370306069958804E-2</v>
      </c>
      <c r="H38" s="24">
        <v>31.5797023773193</v>
      </c>
      <c r="I38" s="2"/>
    </row>
    <row r="39" spans="1:9">
      <c r="A39" s="20" t="s">
        <v>8</v>
      </c>
      <c r="B39" s="30" t="s">
        <v>49</v>
      </c>
      <c r="C39" s="6">
        <v>27</v>
      </c>
      <c r="D39" s="24">
        <v>0.282560924639917</v>
      </c>
      <c r="E39" s="24">
        <v>37.550518035888601</v>
      </c>
      <c r="F39" s="6">
        <v>27</v>
      </c>
      <c r="G39" s="24">
        <v>0.282560924639917</v>
      </c>
      <c r="H39" s="24">
        <v>37.550518035888601</v>
      </c>
      <c r="I39" s="7">
        <f>bdrate($D39:$D42,E39:E42,$G39:$G42,H39:H42)</f>
        <v>0</v>
      </c>
    </row>
    <row r="40" spans="1:9">
      <c r="A40" s="14" t="s">
        <v>9</v>
      </c>
      <c r="B40" s="31"/>
      <c r="C40" s="8">
        <v>32</v>
      </c>
      <c r="D40" s="24">
        <v>0.200318287037037</v>
      </c>
      <c r="E40" s="24">
        <v>36.391036987304602</v>
      </c>
      <c r="F40" s="8">
        <v>32</v>
      </c>
      <c r="G40" s="24">
        <v>0.200318287037037</v>
      </c>
      <c r="H40" s="24">
        <v>36.391036987304602</v>
      </c>
      <c r="I40" s="9"/>
    </row>
    <row r="41" spans="1:9">
      <c r="A41" s="8"/>
      <c r="B41" s="31"/>
      <c r="C41" s="8">
        <v>38</v>
      </c>
      <c r="D41" s="24">
        <v>0.14596273791152201</v>
      </c>
      <c r="E41" s="24">
        <v>35.2298583984375</v>
      </c>
      <c r="F41" s="8">
        <v>38</v>
      </c>
      <c r="G41" s="24">
        <v>0.14596273791152201</v>
      </c>
      <c r="H41" s="24">
        <v>35.2298583984375</v>
      </c>
      <c r="I41" s="9"/>
    </row>
    <row r="42" spans="1:9" ht="15" thickBot="1">
      <c r="A42" s="8"/>
      <c r="B42" s="32"/>
      <c r="C42" s="10">
        <v>45</v>
      </c>
      <c r="D42" s="24">
        <v>9.8880690586419698E-2</v>
      </c>
      <c r="E42" s="24">
        <v>33.592227935791001</v>
      </c>
      <c r="F42" s="10">
        <v>45</v>
      </c>
      <c r="G42" s="24">
        <v>9.8880690586419698E-2</v>
      </c>
      <c r="H42" s="24">
        <v>33.592227935791001</v>
      </c>
      <c r="I42" s="2"/>
    </row>
    <row r="43" spans="1:9">
      <c r="A43" s="8"/>
      <c r="B43" s="30" t="s">
        <v>50</v>
      </c>
      <c r="C43" s="6">
        <v>27</v>
      </c>
      <c r="D43" s="24">
        <v>9.6737879372427907E-2</v>
      </c>
      <c r="E43" s="24">
        <v>41.943450927734297</v>
      </c>
      <c r="F43" s="6">
        <v>27</v>
      </c>
      <c r="G43" s="24">
        <v>9.6737879372427907E-2</v>
      </c>
      <c r="H43" s="24">
        <v>41.943450927734297</v>
      </c>
      <c r="I43" s="7">
        <f>bdrate($D43:$D46,E43:E46,$G43:$G46,H43:H46)</f>
        <v>0</v>
      </c>
    </row>
    <row r="44" spans="1:9">
      <c r="A44" s="8"/>
      <c r="B44" s="31"/>
      <c r="C44" s="8">
        <v>32</v>
      </c>
      <c r="D44" s="24">
        <v>6.7613972479423801E-2</v>
      </c>
      <c r="E44" s="24">
        <v>40.696525573730398</v>
      </c>
      <c r="F44" s="8">
        <v>32</v>
      </c>
      <c r="G44" s="24">
        <v>6.7613972479423801E-2</v>
      </c>
      <c r="H44" s="24">
        <v>40.696525573730398</v>
      </c>
      <c r="I44" s="9"/>
    </row>
    <row r="45" spans="1:9">
      <c r="A45" s="8"/>
      <c r="B45" s="31"/>
      <c r="C45" s="8">
        <v>38</v>
      </c>
      <c r="D45" s="24">
        <v>4.8655156893004099E-2</v>
      </c>
      <c r="E45" s="24">
        <v>39.455451965332003</v>
      </c>
      <c r="F45" s="8">
        <v>38</v>
      </c>
      <c r="G45" s="24">
        <v>4.8655156893004099E-2</v>
      </c>
      <c r="H45" s="24">
        <v>39.455451965332003</v>
      </c>
      <c r="I45" s="9"/>
    </row>
    <row r="46" spans="1:9" ht="15" thickBot="1">
      <c r="A46" s="8"/>
      <c r="B46" s="32"/>
      <c r="C46" s="10">
        <v>45</v>
      </c>
      <c r="D46" s="24">
        <v>3.2444058641975297E-2</v>
      </c>
      <c r="E46" s="24">
        <v>37.730312347412102</v>
      </c>
      <c r="F46" s="10">
        <v>45</v>
      </c>
      <c r="G46" s="24">
        <v>3.2444058641975297E-2</v>
      </c>
      <c r="H46" s="24">
        <v>37.730312347412102</v>
      </c>
      <c r="I46" s="2"/>
    </row>
    <row r="47" spans="1:9">
      <c r="A47" s="14"/>
      <c r="B47" s="30" t="s">
        <v>51</v>
      </c>
      <c r="C47" s="6">
        <v>27</v>
      </c>
      <c r="D47" s="24">
        <v>8.2846418467078103E-2</v>
      </c>
      <c r="E47" s="24">
        <v>38.2146606445312</v>
      </c>
      <c r="F47" s="6">
        <v>27</v>
      </c>
      <c r="G47" s="24">
        <v>8.0623392489711898E-2</v>
      </c>
      <c r="H47" s="24">
        <v>39.637985229492102</v>
      </c>
      <c r="I47" s="7">
        <f>bdrate($D47:$D50,E47:E50,$G47:$G50,H47:H50)</f>
        <v>-0.42326201660595841</v>
      </c>
    </row>
    <row r="48" spans="1:9">
      <c r="A48" s="14"/>
      <c r="B48" s="31"/>
      <c r="C48" s="8">
        <v>32</v>
      </c>
      <c r="D48" s="24">
        <v>5.1961644804526697E-2</v>
      </c>
      <c r="E48" s="24">
        <v>36.994274139404297</v>
      </c>
      <c r="F48" s="8">
        <v>32</v>
      </c>
      <c r="G48" s="24">
        <v>5.1072852366255098E-2</v>
      </c>
      <c r="H48" s="24">
        <v>38.537361145019503</v>
      </c>
      <c r="I48" s="9"/>
    </row>
    <row r="49" spans="1:9">
      <c r="A49" s="8"/>
      <c r="B49" s="31"/>
      <c r="C49" s="8">
        <v>38</v>
      </c>
      <c r="D49" s="24">
        <v>3.4068447788065802E-2</v>
      </c>
      <c r="E49" s="24">
        <v>35.792610168457003</v>
      </c>
      <c r="F49" s="8">
        <v>38</v>
      </c>
      <c r="G49" s="24">
        <v>3.3643100565843603E-2</v>
      </c>
      <c r="H49" s="24">
        <v>37.376621246337798</v>
      </c>
      <c r="I49" s="9"/>
    </row>
    <row r="50" spans="1:9" ht="15" thickBot="1">
      <c r="A50" s="8"/>
      <c r="B50" s="32"/>
      <c r="C50" s="10">
        <v>45</v>
      </c>
      <c r="D50" s="24">
        <v>2.0437082047325101E-2</v>
      </c>
      <c r="E50" s="24">
        <v>34.049900054931598</v>
      </c>
      <c r="F50" s="10">
        <v>45</v>
      </c>
      <c r="G50" s="24">
        <v>2.0223926183127499E-2</v>
      </c>
      <c r="H50" s="24">
        <v>35.659515380859297</v>
      </c>
      <c r="I50" s="2"/>
    </row>
    <row r="51" spans="1:9">
      <c r="A51" s="8"/>
      <c r="B51" s="30" t="s">
        <v>52</v>
      </c>
      <c r="C51" s="6">
        <v>27</v>
      </c>
      <c r="D51" s="24">
        <v>0.206646572788065</v>
      </c>
      <c r="E51" s="24">
        <v>34.882850646972599</v>
      </c>
      <c r="F51" s="6">
        <v>27</v>
      </c>
      <c r="G51" s="24">
        <v>0.21165702160493799</v>
      </c>
      <c r="H51" s="24">
        <v>35.756515502929602</v>
      </c>
      <c r="I51" s="7">
        <f>bdrate($D51:$D54,E51:E54,$G51:$G54,H51:H54)</f>
        <v>-0.53764898204218192</v>
      </c>
    </row>
    <row r="52" spans="1:9">
      <c r="A52" s="8"/>
      <c r="B52" s="31"/>
      <c r="C52" s="8">
        <v>32</v>
      </c>
      <c r="D52" s="24">
        <v>9.8846611368312701E-2</v>
      </c>
      <c r="E52" s="24">
        <v>33.350128173828097</v>
      </c>
      <c r="F52" s="8">
        <v>32</v>
      </c>
      <c r="G52" s="24">
        <v>9.6927565586419698E-2</v>
      </c>
      <c r="H52" s="24">
        <v>34.585762023925703</v>
      </c>
      <c r="I52" s="9"/>
    </row>
    <row r="53" spans="1:9">
      <c r="A53" s="8"/>
      <c r="B53" s="31"/>
      <c r="C53" s="8">
        <v>38</v>
      </c>
      <c r="D53" s="24">
        <v>4.8428980195473197E-2</v>
      </c>
      <c r="E53" s="24">
        <v>32.133392333984297</v>
      </c>
      <c r="F53" s="8">
        <v>38</v>
      </c>
      <c r="G53" s="24">
        <v>5.0713573816872401E-2</v>
      </c>
      <c r="H53" s="24">
        <v>33.658611297607401</v>
      </c>
      <c r="I53" s="9"/>
    </row>
    <row r="54" spans="1:9" ht="15" thickBot="1">
      <c r="A54" s="8"/>
      <c r="B54" s="32"/>
      <c r="C54" s="10">
        <v>45</v>
      </c>
      <c r="D54" s="24">
        <v>2.4110243055555501E-2</v>
      </c>
      <c r="E54" s="24">
        <v>30.831844329833899</v>
      </c>
      <c r="F54" s="10">
        <v>45</v>
      </c>
      <c r="G54" s="24">
        <v>2.7667181069958802E-2</v>
      </c>
      <c r="H54" s="24">
        <v>32.590480804443303</v>
      </c>
      <c r="I54" s="2"/>
    </row>
    <row r="55" spans="1:9">
      <c r="A55" s="20" t="s">
        <v>10</v>
      </c>
      <c r="B55" s="30" t="s">
        <v>53</v>
      </c>
      <c r="C55" s="6">
        <v>27</v>
      </c>
      <c r="D55" s="24">
        <v>0.105985243055555</v>
      </c>
      <c r="E55" s="24">
        <v>38.028709411621001</v>
      </c>
      <c r="F55" s="6">
        <v>27</v>
      </c>
      <c r="G55" s="24">
        <v>0.105985243055555</v>
      </c>
      <c r="H55" s="24">
        <v>38.028709411621001</v>
      </c>
      <c r="I55" s="7">
        <f>bdrate($D55:$D58,E55:E58,$G55:$G58,H55:H58)</f>
        <v>0</v>
      </c>
    </row>
    <row r="56" spans="1:9">
      <c r="A56" s="14" t="s">
        <v>11</v>
      </c>
      <c r="B56" s="31"/>
      <c r="C56" s="8">
        <v>32</v>
      </c>
      <c r="D56" s="24">
        <v>7.3003311471193405E-2</v>
      </c>
      <c r="E56" s="24">
        <v>37.160804748535099</v>
      </c>
      <c r="F56" s="8">
        <v>32</v>
      </c>
      <c r="G56" s="24">
        <v>7.3003311471193405E-2</v>
      </c>
      <c r="H56" s="24">
        <v>37.160804748535099</v>
      </c>
      <c r="I56" s="9"/>
    </row>
    <row r="57" spans="1:9">
      <c r="A57" s="8"/>
      <c r="B57" s="31"/>
      <c r="C57" s="8">
        <v>38</v>
      </c>
      <c r="D57" s="24">
        <v>5.2159529320987601E-2</v>
      </c>
      <c r="E57" s="24">
        <v>36.196834564208899</v>
      </c>
      <c r="F57" s="8">
        <v>38</v>
      </c>
      <c r="G57" s="24">
        <v>5.2159529320987601E-2</v>
      </c>
      <c r="H57" s="24">
        <v>36.196834564208899</v>
      </c>
      <c r="I57" s="9"/>
    </row>
    <row r="58" spans="1:9" ht="15" thickBot="1">
      <c r="A58" s="8"/>
      <c r="B58" s="32"/>
      <c r="C58" s="10">
        <v>45</v>
      </c>
      <c r="D58" s="24">
        <v>3.4141268004115197E-2</v>
      </c>
      <c r="E58" s="24">
        <v>34.663169860839801</v>
      </c>
      <c r="F58" s="10">
        <v>45</v>
      </c>
      <c r="G58" s="24">
        <v>3.4141268004115197E-2</v>
      </c>
      <c r="H58" s="24">
        <v>34.663169860839801</v>
      </c>
      <c r="I58" s="2"/>
    </row>
    <row r="59" spans="1:9">
      <c r="A59" s="8"/>
      <c r="B59" s="30" t="s">
        <v>54</v>
      </c>
      <c r="C59" s="6">
        <v>27</v>
      </c>
      <c r="D59" s="24">
        <v>0.135934284979423</v>
      </c>
      <c r="E59" s="24">
        <v>34.886940002441399</v>
      </c>
      <c r="F59" s="6">
        <v>27</v>
      </c>
      <c r="G59" s="24">
        <v>9.9479488168724206E-2</v>
      </c>
      <c r="H59" s="24">
        <v>35.015670776367102</v>
      </c>
      <c r="I59" s="7">
        <f>bdrate($D59:$D62,E59:E62,$G59:$G62,H59:H62)</f>
        <v>-0.41778781877358417</v>
      </c>
    </row>
    <row r="60" spans="1:9">
      <c r="A60" s="8"/>
      <c r="B60" s="31"/>
      <c r="C60" s="8">
        <v>32</v>
      </c>
      <c r="D60" s="24">
        <v>4.3973765432098702E-2</v>
      </c>
      <c r="E60" s="24">
        <v>33.519859313964801</v>
      </c>
      <c r="F60" s="8">
        <v>32</v>
      </c>
      <c r="G60" s="24">
        <v>5.1975630144032899E-2</v>
      </c>
      <c r="H60" s="24">
        <v>34.433273315429602</v>
      </c>
      <c r="I60" s="9"/>
    </row>
    <row r="61" spans="1:9">
      <c r="A61" s="8"/>
      <c r="B61" s="31"/>
      <c r="C61" s="8">
        <v>38</v>
      </c>
      <c r="D61" s="24">
        <v>2.9875257201646001E-2</v>
      </c>
      <c r="E61" s="24">
        <v>33.008113861083899</v>
      </c>
      <c r="F61" s="8">
        <v>38</v>
      </c>
      <c r="G61" s="24">
        <v>3.5270222479423803E-2</v>
      </c>
      <c r="H61" s="24">
        <v>33.973976135253899</v>
      </c>
      <c r="I61" s="9"/>
    </row>
    <row r="62" spans="1:9" ht="15" thickBot="1">
      <c r="A62" s="8"/>
      <c r="B62" s="32"/>
      <c r="C62" s="10">
        <v>45</v>
      </c>
      <c r="D62" s="24">
        <v>1.87321566358024E-2</v>
      </c>
      <c r="E62" s="24">
        <v>32.2557983398437</v>
      </c>
      <c r="F62" s="10">
        <v>45</v>
      </c>
      <c r="G62" s="24">
        <v>2.2564782664608998E-2</v>
      </c>
      <c r="H62" s="24">
        <v>33.214401245117102</v>
      </c>
      <c r="I62" s="2"/>
    </row>
    <row r="63" spans="1:9">
      <c r="A63" s="8"/>
      <c r="B63" s="30" t="s">
        <v>55</v>
      </c>
      <c r="C63" s="6">
        <v>27</v>
      </c>
      <c r="D63" s="24">
        <v>2.5155446244855901E-2</v>
      </c>
      <c r="E63" s="24">
        <v>40.2514038085937</v>
      </c>
      <c r="F63" s="6">
        <v>27</v>
      </c>
      <c r="G63" s="24">
        <v>2.7128665123456699E-2</v>
      </c>
      <c r="H63" s="24">
        <v>40.517066955566399</v>
      </c>
      <c r="I63" s="7">
        <f>bdrate($D63:$D66,E63:E66,$G63:$G66,H63:H66)</f>
        <v>-7.0288635802954302E-2</v>
      </c>
    </row>
    <row r="64" spans="1:9">
      <c r="A64" s="8"/>
      <c r="B64" s="31"/>
      <c r="C64" s="8">
        <v>32</v>
      </c>
      <c r="D64" s="24">
        <v>1.6693190586419701E-2</v>
      </c>
      <c r="E64" s="24">
        <v>39.735343933105398</v>
      </c>
      <c r="F64" s="8">
        <v>32</v>
      </c>
      <c r="G64" s="24">
        <v>1.9014596193415601E-2</v>
      </c>
      <c r="H64" s="24">
        <v>40.1129760742187</v>
      </c>
      <c r="I64" s="9"/>
    </row>
    <row r="65" spans="1:9">
      <c r="A65" s="8"/>
      <c r="B65" s="31"/>
      <c r="C65" s="8">
        <v>38</v>
      </c>
      <c r="D65" s="24">
        <v>1.17637602880658E-2</v>
      </c>
      <c r="E65" s="24">
        <v>39.163799285888601</v>
      </c>
      <c r="F65" s="8">
        <v>38</v>
      </c>
      <c r="G65" s="24">
        <v>1.3995145318929999E-2</v>
      </c>
      <c r="H65" s="24">
        <v>39.6109809875488</v>
      </c>
      <c r="I65" s="9"/>
    </row>
    <row r="66" spans="1:9" ht="15" thickBot="1">
      <c r="A66" s="8"/>
      <c r="B66" s="32"/>
      <c r="C66" s="10">
        <v>45</v>
      </c>
      <c r="D66" s="24">
        <v>8.1780478395061702E-3</v>
      </c>
      <c r="E66" s="24">
        <v>38.267269134521399</v>
      </c>
      <c r="F66" s="10">
        <v>45</v>
      </c>
      <c r="G66" s="24">
        <v>1.0149980709876501E-2</v>
      </c>
      <c r="H66" s="24">
        <v>38.758083343505803</v>
      </c>
      <c r="I66" s="2"/>
    </row>
    <row r="67" spans="1:9">
      <c r="A67" s="12"/>
      <c r="B67" s="30" t="s">
        <v>56</v>
      </c>
      <c r="C67" s="6">
        <v>27</v>
      </c>
      <c r="D67" s="24">
        <v>0.12506671167695399</v>
      </c>
      <c r="E67" s="24">
        <v>38.245460510253899</v>
      </c>
      <c r="F67" s="6">
        <v>27</v>
      </c>
      <c r="G67" s="24">
        <v>0.12506671167695399</v>
      </c>
      <c r="H67" s="24">
        <v>38.245460510253899</v>
      </c>
      <c r="I67" s="7">
        <f>bdrate($D67:$D70,E67:E70,$G67:$G70,H67:H70)</f>
        <v>0</v>
      </c>
    </row>
    <row r="68" spans="1:9">
      <c r="A68" s="12"/>
      <c r="B68" s="31"/>
      <c r="C68" s="8">
        <v>32</v>
      </c>
      <c r="D68" s="24">
        <v>8.3861882716049302E-2</v>
      </c>
      <c r="E68" s="24">
        <v>37.430423736572202</v>
      </c>
      <c r="F68" s="8">
        <v>32</v>
      </c>
      <c r="G68" s="24">
        <v>8.3861882716049302E-2</v>
      </c>
      <c r="H68" s="24">
        <v>37.430423736572202</v>
      </c>
      <c r="I68" s="9"/>
    </row>
    <row r="69" spans="1:9">
      <c r="A69" s="12"/>
      <c r="B69" s="31"/>
      <c r="C69" s="8">
        <v>38</v>
      </c>
      <c r="D69" s="24">
        <v>5.7628440072016403E-2</v>
      </c>
      <c r="E69" s="24">
        <v>36.478309631347599</v>
      </c>
      <c r="F69" s="8">
        <v>38</v>
      </c>
      <c r="G69" s="24">
        <v>5.7628440072016403E-2</v>
      </c>
      <c r="H69" s="24">
        <v>36.478309631347599</v>
      </c>
      <c r="I69" s="9"/>
    </row>
    <row r="70" spans="1:9" ht="15" thickBot="1">
      <c r="A70" s="12"/>
      <c r="B70" s="32"/>
      <c r="C70" s="10">
        <v>45</v>
      </c>
      <c r="D70" s="24">
        <v>3.5671457047325099E-2</v>
      </c>
      <c r="E70" s="24">
        <v>34.978252410888601</v>
      </c>
      <c r="F70" s="10">
        <v>45</v>
      </c>
      <c r="G70" s="24">
        <v>3.5671457047325099E-2</v>
      </c>
      <c r="H70" s="24">
        <v>34.978252410888601</v>
      </c>
      <c r="I70" s="2"/>
    </row>
    <row r="71" spans="1:9">
      <c r="A71" s="12"/>
      <c r="B71" s="30" t="s">
        <v>57</v>
      </c>
      <c r="C71" s="6">
        <v>27</v>
      </c>
      <c r="D71" s="24">
        <v>9.8962995113168695E-2</v>
      </c>
      <c r="E71" s="24">
        <v>37.1484565734863</v>
      </c>
      <c r="F71" s="6">
        <v>27</v>
      </c>
      <c r="G71" s="24">
        <v>0.11740338863168701</v>
      </c>
      <c r="H71" s="24">
        <v>38.263099670410099</v>
      </c>
      <c r="I71" s="7">
        <f>bdrate($D71:$D74,E71:E74,$G71:$G74,H71:H74)</f>
        <v>-9.8609741602477929E-2</v>
      </c>
    </row>
    <row r="72" spans="1:9">
      <c r="A72" s="12"/>
      <c r="B72" s="31"/>
      <c r="C72" s="8">
        <v>32</v>
      </c>
      <c r="D72" s="24">
        <v>6.9021508487654301E-2</v>
      </c>
      <c r="E72" s="24">
        <v>36.100135803222599</v>
      </c>
      <c r="F72" s="8">
        <v>32</v>
      </c>
      <c r="G72" s="24">
        <v>8.47701260288065E-2</v>
      </c>
      <c r="H72" s="24">
        <v>37.287319183349602</v>
      </c>
      <c r="I72" s="9"/>
    </row>
    <row r="73" spans="1:9">
      <c r="A73" s="12"/>
      <c r="B73" s="31"/>
      <c r="C73" s="8">
        <v>38</v>
      </c>
      <c r="D73" s="24">
        <v>4.9227912808641902E-2</v>
      </c>
      <c r="E73" s="24">
        <v>34.989128112792898</v>
      </c>
      <c r="F73" s="8">
        <v>38</v>
      </c>
      <c r="G73" s="24">
        <v>6.2339731224279799E-2</v>
      </c>
      <c r="H73" s="24">
        <v>36.178359985351499</v>
      </c>
      <c r="I73" s="9"/>
    </row>
    <row r="74" spans="1:9" ht="15" thickBot="1">
      <c r="B74" s="32"/>
      <c r="C74" s="10">
        <v>45</v>
      </c>
      <c r="D74" s="24">
        <v>3.2488104423868298E-2</v>
      </c>
      <c r="E74" s="24">
        <v>33.334487915038999</v>
      </c>
      <c r="F74" s="10">
        <v>45</v>
      </c>
      <c r="G74" s="24">
        <v>4.1776298868312703E-2</v>
      </c>
      <c r="H74" s="24">
        <v>34.4571533203125</v>
      </c>
      <c r="I74" s="2"/>
    </row>
    <row r="75" spans="1:9">
      <c r="B75" s="30" t="s">
        <v>58</v>
      </c>
      <c r="C75" s="6">
        <v>27</v>
      </c>
      <c r="D75" s="24">
        <v>0.124627861368312</v>
      </c>
      <c r="E75" s="24">
        <v>39.451332092285099</v>
      </c>
      <c r="F75" s="6">
        <v>27</v>
      </c>
      <c r="G75" s="24">
        <v>0.124627861368312</v>
      </c>
      <c r="H75" s="24">
        <v>39.451332092285099</v>
      </c>
      <c r="I75" s="7">
        <f>bdrate($D75:$D78,E75:E78,$G75:$G78,H75:H78)</f>
        <v>0</v>
      </c>
    </row>
    <row r="76" spans="1:9">
      <c r="B76" s="31"/>
      <c r="C76" s="8">
        <v>32</v>
      </c>
      <c r="D76" s="24">
        <v>8.9543627829218098E-2</v>
      </c>
      <c r="E76" s="24">
        <v>38.255058288574197</v>
      </c>
      <c r="F76" s="8">
        <v>32</v>
      </c>
      <c r="G76" s="24">
        <v>8.9543627829218098E-2</v>
      </c>
      <c r="H76" s="24">
        <v>38.255058288574197</v>
      </c>
      <c r="I76" s="9"/>
    </row>
    <row r="77" spans="1:9">
      <c r="B77" s="31"/>
      <c r="C77" s="8">
        <v>38</v>
      </c>
      <c r="D77" s="24">
        <v>6.5008198302469095E-2</v>
      </c>
      <c r="E77" s="24">
        <v>36.981357574462798</v>
      </c>
      <c r="F77" s="8">
        <v>38</v>
      </c>
      <c r="G77" s="24">
        <v>6.5008198302469095E-2</v>
      </c>
      <c r="H77" s="24">
        <v>36.981357574462798</v>
      </c>
      <c r="I77" s="9"/>
    </row>
    <row r="78" spans="1:9" ht="15" thickBot="1">
      <c r="B78" s="32"/>
      <c r="C78" s="10">
        <v>45</v>
      </c>
      <c r="D78" s="24">
        <v>4.3115676440329202E-2</v>
      </c>
      <c r="E78" s="24">
        <v>35.170646667480398</v>
      </c>
      <c r="F78" s="10">
        <v>45</v>
      </c>
      <c r="G78" s="24">
        <v>4.3115676440329202E-2</v>
      </c>
      <c r="H78" s="24">
        <v>35.170646667480398</v>
      </c>
      <c r="I78" s="2"/>
    </row>
    <row r="79" spans="1:9">
      <c r="B79" s="30" t="s">
        <v>59</v>
      </c>
      <c r="C79" s="6">
        <v>27</v>
      </c>
      <c r="D79" s="24">
        <v>0.16565715020576099</v>
      </c>
      <c r="E79" s="24">
        <v>39.842124938964801</v>
      </c>
      <c r="F79" s="6">
        <v>27</v>
      </c>
      <c r="G79" s="24">
        <v>0.17615049511316799</v>
      </c>
      <c r="H79" s="24">
        <v>40.108150482177699</v>
      </c>
      <c r="I79" s="7">
        <f>bdrate($D79:$D82,E79:E82,$G79:$G82,H79:H82)</f>
        <v>-6.7486694176172035E-3</v>
      </c>
    </row>
    <row r="80" spans="1:9">
      <c r="B80" s="31"/>
      <c r="C80" s="8">
        <v>32</v>
      </c>
      <c r="D80" s="24">
        <v>0.12503793724279799</v>
      </c>
      <c r="E80" s="24">
        <v>38.816192626953097</v>
      </c>
      <c r="F80" s="8">
        <v>32</v>
      </c>
      <c r="G80" s="24">
        <v>0.132068222736625</v>
      </c>
      <c r="H80" s="24">
        <v>39.074150085449197</v>
      </c>
      <c r="I80" s="9"/>
    </row>
    <row r="81" spans="2:9">
      <c r="B81" s="31"/>
      <c r="C81" s="8">
        <v>38</v>
      </c>
      <c r="D81" s="24">
        <v>9.3702096193415602E-2</v>
      </c>
      <c r="E81" s="24">
        <v>37.638572692871001</v>
      </c>
      <c r="F81" s="8">
        <v>38</v>
      </c>
      <c r="G81" s="24">
        <v>9.8515785751028803E-2</v>
      </c>
      <c r="H81" s="24">
        <v>37.878307342529297</v>
      </c>
      <c r="I81" s="9"/>
    </row>
    <row r="82" spans="2:9" ht="15" thickBot="1">
      <c r="B82" s="32"/>
      <c r="C82" s="10">
        <v>45</v>
      </c>
      <c r="D82" s="24">
        <v>6.3716563786008207E-2</v>
      </c>
      <c r="E82" s="24">
        <v>35.917510986328097</v>
      </c>
      <c r="F82" s="10">
        <v>45</v>
      </c>
      <c r="G82" s="24">
        <v>6.73148148148148E-2</v>
      </c>
      <c r="H82" s="24">
        <v>36.147438049316399</v>
      </c>
      <c r="I82" s="2"/>
    </row>
    <row r="83" spans="2:9">
      <c r="B83" s="30" t="s">
        <v>60</v>
      </c>
      <c r="C83" s="6">
        <v>27</v>
      </c>
      <c r="D83" s="24">
        <v>5.7611400462962897E-2</v>
      </c>
      <c r="E83" s="24">
        <v>43.569515228271399</v>
      </c>
      <c r="F83" s="6">
        <v>27</v>
      </c>
      <c r="G83" s="24">
        <v>5.7611400462962897E-2</v>
      </c>
      <c r="H83" s="24">
        <v>43.569515228271399</v>
      </c>
      <c r="I83" s="7">
        <f>bdrate($D83:$D86,E83:E86,$G83:$G86,H83:H86)</f>
        <v>0</v>
      </c>
    </row>
    <row r="84" spans="2:9">
      <c r="B84" s="31"/>
      <c r="C84" s="8">
        <v>32</v>
      </c>
      <c r="D84" s="24">
        <v>4.2141042952674797E-2</v>
      </c>
      <c r="E84" s="24">
        <v>42.906608581542898</v>
      </c>
      <c r="F84" s="8">
        <v>32</v>
      </c>
      <c r="G84" s="24">
        <v>4.2141042952674797E-2</v>
      </c>
      <c r="H84" s="24">
        <v>42.906608581542898</v>
      </c>
      <c r="I84" s="9"/>
    </row>
    <row r="85" spans="2:9">
      <c r="B85" s="31"/>
      <c r="C85" s="8">
        <v>38</v>
      </c>
      <c r="D85" s="24">
        <v>3.0999871399176902E-2</v>
      </c>
      <c r="E85" s="24">
        <v>42.093547821044901</v>
      </c>
      <c r="F85" s="8">
        <v>38</v>
      </c>
      <c r="G85" s="24">
        <v>3.0999871399176902E-2</v>
      </c>
      <c r="H85" s="24">
        <v>42.093547821044901</v>
      </c>
      <c r="I85" s="9"/>
    </row>
    <row r="86" spans="2:9" ht="15" thickBot="1">
      <c r="B86" s="32"/>
      <c r="C86" s="10">
        <v>45</v>
      </c>
      <c r="D86" s="24">
        <v>2.1138438786008198E-2</v>
      </c>
      <c r="E86" s="24">
        <v>40.818977355957003</v>
      </c>
      <c r="F86" s="10">
        <v>45</v>
      </c>
      <c r="G86" s="24">
        <v>2.1138438786008198E-2</v>
      </c>
      <c r="H86" s="24">
        <v>40.818977355957003</v>
      </c>
      <c r="I86" s="2"/>
    </row>
    <row r="87" spans="2:9">
      <c r="B87" s="30" t="s">
        <v>61</v>
      </c>
      <c r="C87" s="6">
        <v>27</v>
      </c>
      <c r="D87" s="24">
        <v>0.22396283436213901</v>
      </c>
      <c r="E87" s="24">
        <v>40.347274780273402</v>
      </c>
      <c r="F87" s="6">
        <v>27</v>
      </c>
      <c r="G87" s="24">
        <v>0.22396283436213901</v>
      </c>
      <c r="H87" s="24">
        <v>40.347274780273402</v>
      </c>
      <c r="I87" s="7">
        <f>bdrate($D87:$D90,E87:E90,$G87:$G90,H87:H90)</f>
        <v>0</v>
      </c>
    </row>
    <row r="88" spans="2:9">
      <c r="B88" s="31"/>
      <c r="C88" s="8">
        <v>32</v>
      </c>
      <c r="D88" s="24">
        <v>0.16452723122427901</v>
      </c>
      <c r="E88" s="24">
        <v>39.278480529785099</v>
      </c>
      <c r="F88" s="8">
        <v>32</v>
      </c>
      <c r="G88" s="24">
        <v>0.16452723122427901</v>
      </c>
      <c r="H88" s="24">
        <v>39.278480529785099</v>
      </c>
      <c r="I88" s="9"/>
    </row>
    <row r="89" spans="2:9">
      <c r="B89" s="31"/>
      <c r="C89" s="8">
        <v>38</v>
      </c>
      <c r="D89" s="24">
        <v>0.12142328960905301</v>
      </c>
      <c r="E89" s="24">
        <v>38.060020446777301</v>
      </c>
      <c r="F89" s="8">
        <v>38</v>
      </c>
      <c r="G89" s="24">
        <v>0.12142328960905301</v>
      </c>
      <c r="H89" s="24">
        <v>38.060020446777301</v>
      </c>
      <c r="I89" s="9"/>
    </row>
    <row r="90" spans="2:9" ht="15" thickBot="1">
      <c r="B90" s="32"/>
      <c r="C90" s="10">
        <v>45</v>
      </c>
      <c r="D90" s="24">
        <v>8.1972575874485601E-2</v>
      </c>
      <c r="E90" s="24">
        <v>36.271278381347599</v>
      </c>
      <c r="F90" s="10">
        <v>45</v>
      </c>
      <c r="G90" s="24">
        <v>8.1972575874485601E-2</v>
      </c>
      <c r="H90" s="24">
        <v>36.271278381347599</v>
      </c>
      <c r="I90" s="2"/>
    </row>
    <row r="91" spans="2:9">
      <c r="B91" s="30" t="s">
        <v>62</v>
      </c>
      <c r="C91" s="6">
        <v>27</v>
      </c>
      <c r="D91" s="24">
        <v>7.4611786265431995E-2</v>
      </c>
      <c r="E91" s="24">
        <v>40.736335754394503</v>
      </c>
      <c r="F91" s="6">
        <v>27</v>
      </c>
      <c r="G91" s="24">
        <v>7.4611786265431995E-2</v>
      </c>
      <c r="H91" s="24">
        <v>40.736335754394503</v>
      </c>
      <c r="I91" s="7">
        <f>bdrate($D91:$D94,E91:E94,$G91:$G94,H91:H94)</f>
        <v>0</v>
      </c>
    </row>
    <row r="92" spans="2:9">
      <c r="B92" s="31"/>
      <c r="C92" s="8">
        <v>32</v>
      </c>
      <c r="D92" s="24">
        <v>5.1422485853909398E-2</v>
      </c>
      <c r="E92" s="24">
        <v>39.7678833007812</v>
      </c>
      <c r="F92" s="8">
        <v>32</v>
      </c>
      <c r="G92" s="24">
        <v>5.1422485853909398E-2</v>
      </c>
      <c r="H92" s="24">
        <v>39.7678833007812</v>
      </c>
      <c r="I92" s="9"/>
    </row>
    <row r="93" spans="2:9">
      <c r="B93" s="31"/>
      <c r="C93" s="8">
        <v>38</v>
      </c>
      <c r="D93" s="24">
        <v>3.60664223251028E-2</v>
      </c>
      <c r="E93" s="24">
        <v>38.651775360107401</v>
      </c>
      <c r="F93" s="8">
        <v>38</v>
      </c>
      <c r="G93" s="24">
        <v>3.60664223251028E-2</v>
      </c>
      <c r="H93" s="24">
        <v>38.651775360107401</v>
      </c>
      <c r="I93" s="9"/>
    </row>
    <row r="94" spans="2:9" ht="15" thickBot="1">
      <c r="B94" s="32"/>
      <c r="C94" s="10">
        <v>45</v>
      </c>
      <c r="D94" s="24">
        <v>2.3099762088477301E-2</v>
      </c>
      <c r="E94" s="24">
        <v>36.881729125976499</v>
      </c>
      <c r="F94" s="10">
        <v>45</v>
      </c>
      <c r="G94" s="24">
        <v>2.3099762088477301E-2</v>
      </c>
      <c r="H94" s="24">
        <v>36.881729125976499</v>
      </c>
      <c r="I94" s="2"/>
    </row>
    <row r="95" spans="2:9">
      <c r="B95" s="30" t="s">
        <v>63</v>
      </c>
      <c r="C95" s="6">
        <v>27</v>
      </c>
      <c r="D95" s="24">
        <v>8.3591017232510195E-2</v>
      </c>
      <c r="E95" s="24">
        <v>39.855461120605398</v>
      </c>
      <c r="F95" s="6">
        <v>27</v>
      </c>
      <c r="G95" s="24">
        <v>8.3591017232510195E-2</v>
      </c>
      <c r="H95" s="24">
        <v>39.855461120605398</v>
      </c>
      <c r="I95" s="7">
        <f>bdrate($D95:$D98,E95:E98,$G95:$G98,H95:H98)</f>
        <v>0</v>
      </c>
    </row>
    <row r="96" spans="2:9">
      <c r="B96" s="31"/>
      <c r="C96" s="8">
        <v>32</v>
      </c>
      <c r="D96" s="24">
        <v>5.62882587448559E-2</v>
      </c>
      <c r="E96" s="24">
        <v>39.094749450683501</v>
      </c>
      <c r="F96" s="8">
        <v>32</v>
      </c>
      <c r="G96" s="24">
        <v>5.62882587448559E-2</v>
      </c>
      <c r="H96" s="24">
        <v>39.094749450683501</v>
      </c>
      <c r="I96" s="9"/>
    </row>
    <row r="97" spans="2:9">
      <c r="B97" s="31"/>
      <c r="C97" s="8">
        <v>38</v>
      </c>
      <c r="D97" s="24">
        <v>3.8945955504115198E-2</v>
      </c>
      <c r="E97" s="24">
        <v>38.219619750976499</v>
      </c>
      <c r="F97" s="8">
        <v>38</v>
      </c>
      <c r="G97" s="24">
        <v>3.8945955504115198E-2</v>
      </c>
      <c r="H97" s="24">
        <v>38.219619750976499</v>
      </c>
      <c r="I97" s="9"/>
    </row>
    <row r="98" spans="2:9" ht="15" thickBot="1">
      <c r="B98" s="32"/>
      <c r="C98" s="10">
        <v>45</v>
      </c>
      <c r="D98" s="24">
        <v>2.4877989969135799E-2</v>
      </c>
      <c r="E98" s="24">
        <v>36.834526062011697</v>
      </c>
      <c r="F98" s="10">
        <v>45</v>
      </c>
      <c r="G98" s="24">
        <v>2.4877989969135799E-2</v>
      </c>
      <c r="H98" s="24">
        <v>36.834526062011697</v>
      </c>
      <c r="I98" s="2"/>
    </row>
    <row r="99" spans="2:9">
      <c r="B99" s="30" t="s">
        <v>64</v>
      </c>
      <c r="C99" s="6">
        <v>27</v>
      </c>
      <c r="D99" s="24">
        <v>0.48038451646090502</v>
      </c>
      <c r="E99" s="24">
        <v>33.837043762207003</v>
      </c>
      <c r="F99" s="6">
        <v>27</v>
      </c>
      <c r="G99" s="24">
        <v>0.46445826903292098</v>
      </c>
      <c r="H99" s="24">
        <v>33.922080993652301</v>
      </c>
      <c r="I99" s="7">
        <f>bdrate($D99:$D102,E99:E102,$G99:$G102,H99:H102)</f>
        <v>-0.10013693673929058</v>
      </c>
    </row>
    <row r="100" spans="2:9">
      <c r="B100" s="31"/>
      <c r="C100" s="8">
        <v>32</v>
      </c>
      <c r="D100" s="24">
        <v>0.35799784593621398</v>
      </c>
      <c r="E100" s="24">
        <v>33.136146545410099</v>
      </c>
      <c r="F100" s="8">
        <v>32</v>
      </c>
      <c r="G100" s="24">
        <v>0.34475180041152198</v>
      </c>
      <c r="H100" s="24">
        <v>33.264488220214801</v>
      </c>
      <c r="I100" s="9"/>
    </row>
    <row r="101" spans="2:9">
      <c r="B101" s="31"/>
      <c r="C101" s="8">
        <v>38</v>
      </c>
      <c r="D101" s="24">
        <v>0.25841322659464999</v>
      </c>
      <c r="E101" s="24">
        <v>32.194644927978501</v>
      </c>
      <c r="F101" s="8">
        <v>38</v>
      </c>
      <c r="G101" s="24">
        <v>0.248922485853909</v>
      </c>
      <c r="H101" s="24">
        <v>32.401039123535099</v>
      </c>
      <c r="I101" s="9"/>
    </row>
    <row r="102" spans="2:9" ht="15" thickBot="1">
      <c r="B102" s="32"/>
      <c r="C102" s="10">
        <v>45</v>
      </c>
      <c r="D102" s="24">
        <v>0.15983378343621399</v>
      </c>
      <c r="E102" s="24">
        <v>30.586408615112301</v>
      </c>
      <c r="F102" s="10">
        <v>45</v>
      </c>
      <c r="G102" s="24">
        <v>0.15341354809670699</v>
      </c>
      <c r="H102" s="24">
        <v>30.919324874877901</v>
      </c>
      <c r="I102" s="2"/>
    </row>
    <row r="103" spans="2:9">
      <c r="B103" s="30" t="s">
        <v>65</v>
      </c>
      <c r="C103" s="6">
        <v>27</v>
      </c>
      <c r="D103" s="24">
        <v>6.9207175925925901E-2</v>
      </c>
      <c r="E103" s="24">
        <v>40.854652404785099</v>
      </c>
      <c r="F103" s="6">
        <v>27</v>
      </c>
      <c r="G103" s="24">
        <v>7.2610757458847694E-2</v>
      </c>
      <c r="H103" s="24">
        <v>41.089630126953097</v>
      </c>
      <c r="I103" s="7">
        <f>bdrate($D103:$D106,E103:E106,$G103:$G106,H103:H106)</f>
        <v>-3.3217410980789563E-2</v>
      </c>
    </row>
    <row r="104" spans="2:9">
      <c r="B104" s="31"/>
      <c r="C104" s="8">
        <v>32</v>
      </c>
      <c r="D104" s="24">
        <v>5.0949074074074001E-2</v>
      </c>
      <c r="E104" s="24">
        <v>40.158332824707003</v>
      </c>
      <c r="F104" s="8">
        <v>32</v>
      </c>
      <c r="G104" s="24">
        <v>5.3548578960905299E-2</v>
      </c>
      <c r="H104" s="24">
        <v>40.4046020507812</v>
      </c>
      <c r="I104" s="9"/>
    </row>
    <row r="105" spans="2:9">
      <c r="B105" s="31"/>
      <c r="C105" s="8">
        <v>38</v>
      </c>
      <c r="D105" s="24">
        <v>3.8028549382716E-2</v>
      </c>
      <c r="E105" s="24">
        <v>39.306640625</v>
      </c>
      <c r="F105" s="8">
        <v>38</v>
      </c>
      <c r="G105" s="24">
        <v>4.0159947273662497E-2</v>
      </c>
      <c r="H105" s="24">
        <v>39.5802612304687</v>
      </c>
      <c r="I105" s="9"/>
    </row>
    <row r="106" spans="2:9" ht="15" thickBot="1">
      <c r="B106" s="32"/>
      <c r="C106" s="10">
        <v>45</v>
      </c>
      <c r="D106" s="24">
        <v>2.6430362654320898E-2</v>
      </c>
      <c r="E106" s="24">
        <v>37.912590026855398</v>
      </c>
      <c r="F106" s="10">
        <v>45</v>
      </c>
      <c r="G106" s="24">
        <v>2.8222575874485501E-2</v>
      </c>
      <c r="H106" s="24">
        <v>38.246734619140597</v>
      </c>
      <c r="I106" s="2"/>
    </row>
    <row r="107" spans="2:9">
      <c r="B107" s="30" t="s">
        <v>66</v>
      </c>
      <c r="C107" s="6">
        <v>27</v>
      </c>
      <c r="D107" s="24">
        <v>0.13865081661522599</v>
      </c>
      <c r="E107" s="24">
        <v>39.349666595458899</v>
      </c>
      <c r="F107" s="6">
        <v>27</v>
      </c>
      <c r="G107" s="24">
        <v>0.13323431069958799</v>
      </c>
      <c r="H107" s="24">
        <v>40.248794555663999</v>
      </c>
      <c r="I107" s="7">
        <f>bdrate($D107:$D110,E107:E110,$G107:$G110,H107:H110)</f>
        <v>-0.29807008281402647</v>
      </c>
    </row>
    <row r="108" spans="2:9">
      <c r="B108" s="31"/>
      <c r="C108" s="8">
        <v>32</v>
      </c>
      <c r="D108" s="24">
        <v>9.43968621399177E-2</v>
      </c>
      <c r="E108" s="24">
        <v>37.855991363525298</v>
      </c>
      <c r="F108" s="8">
        <v>32</v>
      </c>
      <c r="G108" s="24">
        <v>8.9662262088477301E-2</v>
      </c>
      <c r="H108" s="24">
        <v>38.9235229492187</v>
      </c>
      <c r="I108" s="9"/>
    </row>
    <row r="109" spans="2:9">
      <c r="B109" s="31"/>
      <c r="C109" s="8">
        <v>38</v>
      </c>
      <c r="D109" s="24">
        <v>6.41665059156378E-2</v>
      </c>
      <c r="E109" s="24">
        <v>36.396522521972599</v>
      </c>
      <c r="F109" s="8">
        <v>38</v>
      </c>
      <c r="G109" s="24">
        <v>6.0592367541152201E-2</v>
      </c>
      <c r="H109" s="24">
        <v>37.535274505615199</v>
      </c>
      <c r="I109" s="9"/>
    </row>
    <row r="110" spans="2:9" ht="15" thickBot="1">
      <c r="B110" s="32"/>
      <c r="C110" s="10">
        <v>45</v>
      </c>
      <c r="D110" s="24">
        <v>3.78036586934156E-2</v>
      </c>
      <c r="E110" s="24">
        <v>34.392807006835902</v>
      </c>
      <c r="F110" s="10">
        <v>45</v>
      </c>
      <c r="G110" s="24">
        <v>3.6075745884773601E-2</v>
      </c>
      <c r="H110" s="24">
        <v>35.628265380859297</v>
      </c>
      <c r="I110" s="2"/>
    </row>
    <row r="111" spans="2:9">
      <c r="B111" s="30" t="s">
        <v>67</v>
      </c>
      <c r="C111" s="6">
        <v>27</v>
      </c>
      <c r="D111" s="24">
        <v>2.8568029835390901E-2</v>
      </c>
      <c r="E111" s="24">
        <v>40.854263305663999</v>
      </c>
      <c r="F111" s="6">
        <v>27</v>
      </c>
      <c r="G111" s="24">
        <v>2.3391203703703699E-2</v>
      </c>
      <c r="H111" s="24">
        <v>41.578239440917898</v>
      </c>
      <c r="I111" s="7">
        <f>bdrate($D111:$D114,E111:E114,$G111:$G114,H111:H114)</f>
        <v>-0.45838294097212584</v>
      </c>
    </row>
    <row r="112" spans="2:9">
      <c r="B112" s="31"/>
      <c r="C112" s="8">
        <v>32</v>
      </c>
      <c r="D112" s="24">
        <v>2.0124421296296199E-2</v>
      </c>
      <c r="E112" s="24">
        <v>40.099376678466797</v>
      </c>
      <c r="F112" s="8">
        <v>32</v>
      </c>
      <c r="G112" s="24">
        <v>1.6462191358024601E-2</v>
      </c>
      <c r="H112" s="24">
        <v>41.065780639648402</v>
      </c>
      <c r="I112" s="9"/>
    </row>
    <row r="113" spans="1:9">
      <c r="B113" s="31"/>
      <c r="C113" s="8">
        <v>38</v>
      </c>
      <c r="D113" s="24">
        <v>1.47571051954732E-2</v>
      </c>
      <c r="E113" s="24">
        <v>39.223278045654297</v>
      </c>
      <c r="F113" s="8">
        <v>38</v>
      </c>
      <c r="G113" s="24">
        <v>1.2261123971193401E-2</v>
      </c>
      <c r="H113" s="24">
        <v>40.438079833984297</v>
      </c>
      <c r="I113" s="9"/>
    </row>
    <row r="114" spans="1:9" ht="15" thickBot="1">
      <c r="B114" s="32"/>
      <c r="C114" s="10">
        <v>45</v>
      </c>
      <c r="D114" s="24">
        <v>1.0399787808641901E-2</v>
      </c>
      <c r="E114" s="24">
        <v>37.878963470458899</v>
      </c>
      <c r="F114" s="10">
        <v>45</v>
      </c>
      <c r="G114" s="24">
        <v>8.8885673868312701E-3</v>
      </c>
      <c r="H114" s="24">
        <v>39.339603424072202</v>
      </c>
      <c r="I114" s="2"/>
    </row>
    <row r="115" spans="1:9">
      <c r="B115" s="30" t="s">
        <v>68</v>
      </c>
      <c r="C115" s="6">
        <v>27</v>
      </c>
      <c r="D115" s="24">
        <v>6.8116640946502003E-3</v>
      </c>
      <c r="E115" s="24">
        <v>44.039024353027301</v>
      </c>
      <c r="F115" s="6">
        <v>27</v>
      </c>
      <c r="G115" s="24">
        <v>6.6751864711934103E-3</v>
      </c>
      <c r="H115" s="24">
        <v>44.665855407714801</v>
      </c>
      <c r="I115" s="7">
        <f>bdrate($D115:$D118,E115:E118,$G115:$G118,H115:H118)</f>
        <v>-0.29615001086228576</v>
      </c>
    </row>
    <row r="116" spans="1:9">
      <c r="B116" s="31"/>
      <c r="C116" s="8">
        <v>32</v>
      </c>
      <c r="D116" s="24">
        <v>5.0835905349794199E-3</v>
      </c>
      <c r="E116" s="24">
        <v>43.620719909667898</v>
      </c>
      <c r="F116" s="8">
        <v>32</v>
      </c>
      <c r="G116" s="24">
        <v>4.9691358024691297E-3</v>
      </c>
      <c r="H116" s="24">
        <v>44.382011413574197</v>
      </c>
      <c r="I116" s="9"/>
    </row>
    <row r="117" spans="1:9">
      <c r="B117" s="31"/>
      <c r="C117" s="8">
        <v>38</v>
      </c>
      <c r="D117" s="24">
        <v>4.0985082304526698E-3</v>
      </c>
      <c r="E117" s="24">
        <v>43.123077392578097</v>
      </c>
      <c r="F117" s="8">
        <v>38</v>
      </c>
      <c r="G117" s="24">
        <v>4.0477109053497903E-3</v>
      </c>
      <c r="H117" s="24">
        <v>44.025524139404297</v>
      </c>
      <c r="I117" s="9"/>
    </row>
    <row r="118" spans="1:9" ht="15" thickBot="1">
      <c r="B118" s="32"/>
      <c r="C118" s="10">
        <v>45</v>
      </c>
      <c r="D118" s="24">
        <v>3.6003407921810699E-3</v>
      </c>
      <c r="E118" s="24">
        <v>42.237274169921797</v>
      </c>
      <c r="F118" s="10">
        <v>45</v>
      </c>
      <c r="G118" s="24">
        <v>3.6347415123456702E-3</v>
      </c>
      <c r="H118" s="24">
        <v>43.353206634521399</v>
      </c>
      <c r="I118" s="2"/>
    </row>
    <row r="119" spans="1:9">
      <c r="B119" s="30" t="s">
        <v>69</v>
      </c>
      <c r="C119" s="6">
        <v>27</v>
      </c>
      <c r="D119" s="24">
        <v>1.8240258487654301E-2</v>
      </c>
      <c r="E119" s="24">
        <v>38.139328002929602</v>
      </c>
      <c r="F119" s="6">
        <v>27</v>
      </c>
      <c r="G119" s="24">
        <v>1.87041859567901E-2</v>
      </c>
      <c r="H119" s="24">
        <v>38.613231658935497</v>
      </c>
      <c r="I119" s="7">
        <f>bdrate($D119:$D122,E119:E122,$G119:$G122,H119:H122)</f>
        <v>-0.40383860557095541</v>
      </c>
    </row>
    <row r="120" spans="1:9">
      <c r="B120" s="31"/>
      <c r="C120" s="8">
        <v>32</v>
      </c>
      <c r="D120" s="24">
        <v>1.31240354938271E-2</v>
      </c>
      <c r="E120" s="24">
        <v>37.869365692138601</v>
      </c>
      <c r="F120" s="8">
        <v>32</v>
      </c>
      <c r="G120" s="24">
        <v>1.29644097222222E-2</v>
      </c>
      <c r="H120" s="24">
        <v>38.401908874511697</v>
      </c>
      <c r="I120" s="9"/>
    </row>
    <row r="121" spans="1:9">
      <c r="B121" s="31"/>
      <c r="C121" s="8">
        <v>38</v>
      </c>
      <c r="D121" s="24">
        <v>9.67689043209876E-3</v>
      </c>
      <c r="E121" s="24">
        <v>37.529048919677699</v>
      </c>
      <c r="F121" s="8">
        <v>38</v>
      </c>
      <c r="G121" s="24">
        <v>9.4974922839506093E-3</v>
      </c>
      <c r="H121" s="24">
        <v>38.127548217773402</v>
      </c>
      <c r="I121" s="9"/>
    </row>
    <row r="122" spans="1:9" ht="15" thickBot="1">
      <c r="B122" s="32"/>
      <c r="C122" s="10">
        <v>45</v>
      </c>
      <c r="D122" s="24">
        <v>6.8574781378600803E-3</v>
      </c>
      <c r="E122" s="24">
        <v>36.840423583984297</v>
      </c>
      <c r="F122" s="10">
        <v>45</v>
      </c>
      <c r="G122" s="24">
        <v>6.6481802983538998E-3</v>
      </c>
      <c r="H122" s="24">
        <v>37.561382293701101</v>
      </c>
      <c r="I122" s="2"/>
    </row>
    <row r="123" spans="1:9" ht="15" thickBot="1">
      <c r="A123" s="11"/>
      <c r="B123" s="4" t="s">
        <v>2</v>
      </c>
      <c r="C123" s="18"/>
      <c r="D123" s="11"/>
      <c r="E123" s="18"/>
      <c r="F123" s="18"/>
      <c r="G123" s="11"/>
      <c r="H123" s="18"/>
      <c r="I123" s="19">
        <f>AVERAGE(I3:I122)</f>
        <v>-0.14784883153285572</v>
      </c>
    </row>
    <row r="124" spans="1:9" ht="15" thickBot="1"/>
    <row r="125" spans="1:9">
      <c r="B125" t="s">
        <v>70</v>
      </c>
      <c r="D125">
        <f>AVERAGE(D3,D7,D11,D15,D19,D23,D27,D31,D35,D39,D43,D47,D51,D55,D59,D63,D67,D71,D75,D79,D83,D87,D91,D95,D99,D103,D107,D111,D115,D119)</f>
        <v>0.13422426911865537</v>
      </c>
      <c r="E125">
        <f>AVERAGE(E3,E7,E11,E15,E19,E23,E27,E31,E35,E39,E43,E47,E51,E55,E59,E63,E67,E71,E75,E79,E83,E87,E91,E95,E99,E103,E107,E111,E115,E119)</f>
        <v>38.437385050455688</v>
      </c>
      <c r="G125">
        <f>AVERAGE(G3,G7,G11,G15,G19,G23,G27,G31,G35,G39,G43,G47,G51,G55,G59,G63,G67,G71,G75,G79,G83,G87,G91,G95,G99,G103,G107,G111,G115,G119)</f>
        <v>0.13645219263710526</v>
      </c>
      <c r="H125">
        <f>AVERAGE(H3,H7,H11,H15,H19,H23,H27,H31,H35,H39,H43,H47,H51,H55,H59,H63,H67,H71,H75,H79,H83,H87,H91,H95,H99,H103,H107,H111,H115,H119)</f>
        <v>38.74135189067362</v>
      </c>
      <c r="I125" s="7">
        <f>bdrate($D125:$D128,E125:E128,$G125:$G128,H125:H128)</f>
        <v>-0.14607726915565489</v>
      </c>
    </row>
    <row r="126" spans="1:9">
      <c r="D126">
        <f t="shared" ref="D126:E128" si="0">AVERAGE(D4,D8,D12,D16,D20,D24,D28,D32,D36,D40,D44,D48,D52,D56,D60,D64,D68,D72,D76,D80,D84,D88,D92,D96,D100,D104,D108,D112,D116,D120)</f>
        <v>9.1119620198902448E-2</v>
      </c>
      <c r="E126">
        <f t="shared" si="0"/>
        <v>37.588327980041441</v>
      </c>
      <c r="G126">
        <f t="shared" ref="G126:H128" si="1">AVERAGE(G4,G8,G12,G16,G20,G24,G28,G32,G36,G40,G44,G48,G52,G56,G60,G64,G68,G72,G76,G80,G84,G88,G92,G96,G100,G104,G108,G112,G116,G120)</f>
        <v>9.1245648989574588E-2</v>
      </c>
      <c r="H126">
        <f t="shared" si="1"/>
        <v>37.969133885791301</v>
      </c>
    </row>
    <row r="127" spans="1:9">
      <c r="D127">
        <f t="shared" si="0"/>
        <v>6.4295647933813288E-2</v>
      </c>
      <c r="E127">
        <f t="shared" si="0"/>
        <v>36.699231719970662</v>
      </c>
      <c r="G127">
        <f t="shared" si="1"/>
        <v>6.4609417882510151E-2</v>
      </c>
      <c r="H127">
        <f t="shared" si="1"/>
        <v>37.134346961856892</v>
      </c>
    </row>
    <row r="128" spans="1:9">
      <c r="D128">
        <f t="shared" si="0"/>
        <v>4.1095320001714633E-2</v>
      </c>
      <c r="E128">
        <f t="shared" si="0"/>
        <v>35.35101706186925</v>
      </c>
      <c r="G128">
        <f t="shared" si="1"/>
        <v>4.1582936825994427E-2</v>
      </c>
      <c r="H128">
        <f t="shared" si="1"/>
        <v>35.854312769407834</v>
      </c>
    </row>
  </sheetData>
  <mergeCells count="32">
    <mergeCell ref="B39:B42"/>
    <mergeCell ref="D1:E1"/>
    <mergeCell ref="G1:H1"/>
    <mergeCell ref="B3:B6"/>
    <mergeCell ref="B7:B10"/>
    <mergeCell ref="B11:B14"/>
    <mergeCell ref="B15:B18"/>
    <mergeCell ref="B19:B22"/>
    <mergeCell ref="B23:B26"/>
    <mergeCell ref="B27:B30"/>
    <mergeCell ref="B31:B34"/>
    <mergeCell ref="B35:B38"/>
    <mergeCell ref="B87:B90"/>
    <mergeCell ref="B43:B46"/>
    <mergeCell ref="B47:B50"/>
    <mergeCell ref="B51:B54"/>
    <mergeCell ref="B55:B58"/>
    <mergeCell ref="B59:B62"/>
    <mergeCell ref="B63:B66"/>
    <mergeCell ref="B67:B70"/>
    <mergeCell ref="B71:B74"/>
    <mergeCell ref="B75:B78"/>
    <mergeCell ref="B79:B82"/>
    <mergeCell ref="B83:B86"/>
    <mergeCell ref="B115:B118"/>
    <mergeCell ref="B119:B122"/>
    <mergeCell ref="B91:B94"/>
    <mergeCell ref="B95:B98"/>
    <mergeCell ref="B99:B102"/>
    <mergeCell ref="B103:B106"/>
    <mergeCell ref="B107:B110"/>
    <mergeCell ref="B111:B114"/>
  </mergeCells>
  <phoneticPr fontId="1" type="noConversion"/>
  <conditionalFormatting sqref="I12:I14 I16:I18">
    <cfRule type="cellIs" dxfId="599" priority="589" operator="greaterThan">
      <formula>0.03</formula>
    </cfRule>
    <cfRule type="cellIs" dxfId="598" priority="590" stopIfTrue="1" operator="lessThan">
      <formula>-0.03</formula>
    </cfRule>
  </conditionalFormatting>
  <conditionalFormatting sqref="I12:I14 I16:I18">
    <cfRule type="cellIs" dxfId="597" priority="587" operator="greaterThan">
      <formula>0.03</formula>
    </cfRule>
    <cfRule type="cellIs" dxfId="596" priority="588" stopIfTrue="1" operator="lessThan">
      <formula>-0.03</formula>
    </cfRule>
  </conditionalFormatting>
  <conditionalFormatting sqref="I28:I30">
    <cfRule type="cellIs" dxfId="595" priority="559" operator="greaterThan">
      <formula>0.03</formula>
    </cfRule>
    <cfRule type="cellIs" dxfId="594" priority="560" stopIfTrue="1" operator="lessThan">
      <formula>-0.03</formula>
    </cfRule>
  </conditionalFormatting>
  <conditionalFormatting sqref="I28:I30">
    <cfRule type="cellIs" dxfId="593" priority="557" operator="greaterThan">
      <formula>0.03</formula>
    </cfRule>
    <cfRule type="cellIs" dxfId="592" priority="558" stopIfTrue="1" operator="lessThan">
      <formula>-0.03</formula>
    </cfRule>
  </conditionalFormatting>
  <conditionalFormatting sqref="I28:I30">
    <cfRule type="cellIs" dxfId="591" priority="555" operator="greaterThan">
      <formula>0.03</formula>
    </cfRule>
    <cfRule type="cellIs" dxfId="590" priority="556" stopIfTrue="1" operator="lessThan">
      <formula>-0.03</formula>
    </cfRule>
  </conditionalFormatting>
  <conditionalFormatting sqref="I28:I30">
    <cfRule type="cellIs" dxfId="589" priority="553" operator="greaterThan">
      <formula>0.03</formula>
    </cfRule>
    <cfRule type="cellIs" dxfId="588" priority="554" stopIfTrue="1" operator="lessThan">
      <formula>-0.03</formula>
    </cfRule>
  </conditionalFormatting>
  <conditionalFormatting sqref="I28:I30">
    <cfRule type="cellIs" dxfId="587" priority="551" operator="greaterThan">
      <formula>0.03</formula>
    </cfRule>
    <cfRule type="cellIs" dxfId="586" priority="552" stopIfTrue="1" operator="lessThan">
      <formula>-0.03</formula>
    </cfRule>
  </conditionalFormatting>
  <conditionalFormatting sqref="I20:I22">
    <cfRule type="cellIs" dxfId="585" priority="595" operator="greaterThan">
      <formula>0.03</formula>
    </cfRule>
    <cfRule type="cellIs" dxfId="584" priority="596" stopIfTrue="1" operator="lessThan">
      <formula>-0.03</formula>
    </cfRule>
  </conditionalFormatting>
  <conditionalFormatting sqref="I19">
    <cfRule type="cellIs" dxfId="583" priority="569" operator="greaterThan">
      <formula>0.03</formula>
    </cfRule>
    <cfRule type="cellIs" dxfId="582" priority="570" stopIfTrue="1" operator="lessThan">
      <formula>-0.03</formula>
    </cfRule>
  </conditionalFormatting>
  <conditionalFormatting sqref="I19">
    <cfRule type="cellIs" dxfId="581" priority="567" operator="greaterThan">
      <formula>0.03</formula>
    </cfRule>
    <cfRule type="cellIs" dxfId="580" priority="568" stopIfTrue="1" operator="lessThan">
      <formula>-0.03</formula>
    </cfRule>
  </conditionalFormatting>
  <conditionalFormatting sqref="I19">
    <cfRule type="cellIs" dxfId="579" priority="565" operator="greaterThan">
      <formula>0.03</formula>
    </cfRule>
    <cfRule type="cellIs" dxfId="578" priority="566" stopIfTrue="1" operator="lessThan">
      <formula>-0.03</formula>
    </cfRule>
  </conditionalFormatting>
  <conditionalFormatting sqref="I19">
    <cfRule type="cellIs" dxfId="577" priority="563" operator="greaterThan">
      <formula>0.03</formula>
    </cfRule>
    <cfRule type="cellIs" dxfId="576" priority="564" stopIfTrue="1" operator="lessThan">
      <formula>-0.03</formula>
    </cfRule>
  </conditionalFormatting>
  <conditionalFormatting sqref="I19">
    <cfRule type="cellIs" dxfId="575" priority="561" operator="greaterThan">
      <formula>0.03</formula>
    </cfRule>
    <cfRule type="cellIs" dxfId="574" priority="562" stopIfTrue="1" operator="lessThan">
      <formula>-0.03</formula>
    </cfRule>
  </conditionalFormatting>
  <conditionalFormatting sqref="I20:I22">
    <cfRule type="cellIs" dxfId="573" priority="599" operator="greaterThan">
      <formula>0.03</formula>
    </cfRule>
    <cfRule type="cellIs" dxfId="572" priority="600" stopIfTrue="1" operator="lessThan">
      <formula>-0.03</formula>
    </cfRule>
  </conditionalFormatting>
  <conditionalFormatting sqref="I20:I22">
    <cfRule type="cellIs" dxfId="571" priority="597" operator="greaterThan">
      <formula>0.03</formula>
    </cfRule>
    <cfRule type="cellIs" dxfId="570" priority="598" stopIfTrue="1" operator="lessThan">
      <formula>-0.03</formula>
    </cfRule>
  </conditionalFormatting>
  <conditionalFormatting sqref="I12:I14 I16:I18">
    <cfRule type="cellIs" dxfId="569" priority="585" operator="greaterThan">
      <formula>0.03</formula>
    </cfRule>
    <cfRule type="cellIs" dxfId="568" priority="586" stopIfTrue="1" operator="lessThan">
      <formula>-0.03</formula>
    </cfRule>
  </conditionalFormatting>
  <conditionalFormatting sqref="I20:I22">
    <cfRule type="cellIs" dxfId="567" priority="593" operator="greaterThan">
      <formula>0.03</formula>
    </cfRule>
    <cfRule type="cellIs" dxfId="566" priority="594" stopIfTrue="1" operator="lessThan">
      <formula>-0.03</formula>
    </cfRule>
  </conditionalFormatting>
  <conditionalFormatting sqref="I20:I22">
    <cfRule type="cellIs" dxfId="565" priority="591" operator="greaterThan">
      <formula>0.03</formula>
    </cfRule>
    <cfRule type="cellIs" dxfId="564" priority="592" stopIfTrue="1" operator="lessThan">
      <formula>-0.03</formula>
    </cfRule>
  </conditionalFormatting>
  <conditionalFormatting sqref="I12:I14 I16:I18">
    <cfRule type="cellIs" dxfId="563" priority="581" operator="greaterThan">
      <formula>0.03</formula>
    </cfRule>
    <cfRule type="cellIs" dxfId="562" priority="582" stopIfTrue="1" operator="lessThan">
      <formula>-0.03</formula>
    </cfRule>
  </conditionalFormatting>
  <conditionalFormatting sqref="I12:I14 I16:I18">
    <cfRule type="cellIs" dxfId="561" priority="583" operator="greaterThan">
      <formula>0.03</formula>
    </cfRule>
    <cfRule type="cellIs" dxfId="560" priority="584" stopIfTrue="1" operator="lessThan">
      <formula>-0.03</formula>
    </cfRule>
  </conditionalFormatting>
  <conditionalFormatting sqref="I11">
    <cfRule type="cellIs" dxfId="559" priority="579" operator="greaterThan">
      <formula>0.03</formula>
    </cfRule>
    <cfRule type="cellIs" dxfId="558" priority="580" stopIfTrue="1" operator="lessThan">
      <formula>-0.03</formula>
    </cfRule>
  </conditionalFormatting>
  <conditionalFormatting sqref="I11">
    <cfRule type="cellIs" dxfId="557" priority="577" operator="greaterThan">
      <formula>0.03</formula>
    </cfRule>
    <cfRule type="cellIs" dxfId="556" priority="578" stopIfTrue="1" operator="lessThan">
      <formula>-0.03</formula>
    </cfRule>
  </conditionalFormatting>
  <conditionalFormatting sqref="I11">
    <cfRule type="cellIs" dxfId="555" priority="575" operator="greaterThan">
      <formula>0.03</formula>
    </cfRule>
    <cfRule type="cellIs" dxfId="554" priority="576" stopIfTrue="1" operator="lessThan">
      <formula>-0.03</formula>
    </cfRule>
  </conditionalFormatting>
  <conditionalFormatting sqref="I11">
    <cfRule type="cellIs" dxfId="553" priority="573" operator="greaterThan">
      <formula>0.03</formula>
    </cfRule>
    <cfRule type="cellIs" dxfId="552" priority="574" stopIfTrue="1" operator="lessThan">
      <formula>-0.03</formula>
    </cfRule>
  </conditionalFormatting>
  <conditionalFormatting sqref="I11">
    <cfRule type="cellIs" dxfId="551" priority="571" operator="greaterThan">
      <formula>0.03</formula>
    </cfRule>
    <cfRule type="cellIs" dxfId="550" priority="572" stopIfTrue="1" operator="lessThan">
      <formula>-0.03</formula>
    </cfRule>
  </conditionalFormatting>
  <conditionalFormatting sqref="I24:I26">
    <cfRule type="cellIs" dxfId="549" priority="549" operator="greaterThan">
      <formula>0.03</formula>
    </cfRule>
    <cfRule type="cellIs" dxfId="548" priority="550" stopIfTrue="1" operator="lessThan">
      <formula>-0.03</formula>
    </cfRule>
  </conditionalFormatting>
  <conditionalFormatting sqref="I24:I26">
    <cfRule type="cellIs" dxfId="547" priority="547" operator="greaterThan">
      <formula>0.03</formula>
    </cfRule>
    <cfRule type="cellIs" dxfId="546" priority="548" stopIfTrue="1" operator="lessThan">
      <formula>-0.03</formula>
    </cfRule>
  </conditionalFormatting>
  <conditionalFormatting sqref="I27">
    <cfRule type="cellIs" dxfId="545" priority="529" operator="greaterThan">
      <formula>0.03</formula>
    </cfRule>
    <cfRule type="cellIs" dxfId="544" priority="530" stopIfTrue="1" operator="lessThan">
      <formula>-0.03</formula>
    </cfRule>
  </conditionalFormatting>
  <conditionalFormatting sqref="I27">
    <cfRule type="cellIs" dxfId="543" priority="527" operator="greaterThan">
      <formula>0.03</formula>
    </cfRule>
    <cfRule type="cellIs" dxfId="542" priority="528" stopIfTrue="1" operator="lessThan">
      <formula>-0.03</formula>
    </cfRule>
  </conditionalFormatting>
  <conditionalFormatting sqref="I27">
    <cfRule type="cellIs" dxfId="541" priority="525" operator="greaterThan">
      <formula>0.03</formula>
    </cfRule>
    <cfRule type="cellIs" dxfId="540" priority="526" stopIfTrue="1" operator="lessThan">
      <formula>-0.03</formula>
    </cfRule>
  </conditionalFormatting>
  <conditionalFormatting sqref="I27">
    <cfRule type="cellIs" dxfId="539" priority="523" operator="greaterThan">
      <formula>0.03</formula>
    </cfRule>
    <cfRule type="cellIs" dxfId="538" priority="524" stopIfTrue="1" operator="lessThan">
      <formula>-0.03</formula>
    </cfRule>
  </conditionalFormatting>
  <conditionalFormatting sqref="I27">
    <cfRule type="cellIs" dxfId="537" priority="521" operator="greaterThan">
      <formula>0.03</formula>
    </cfRule>
    <cfRule type="cellIs" dxfId="536" priority="522" stopIfTrue="1" operator="lessThan">
      <formula>-0.03</formula>
    </cfRule>
  </conditionalFormatting>
  <conditionalFormatting sqref="I24:I26">
    <cfRule type="cellIs" dxfId="535" priority="545" operator="greaterThan">
      <formula>0.03</formula>
    </cfRule>
    <cfRule type="cellIs" dxfId="534" priority="546" stopIfTrue="1" operator="lessThan">
      <formula>-0.03</formula>
    </cfRule>
  </conditionalFormatting>
  <conditionalFormatting sqref="I24:I26">
    <cfRule type="cellIs" dxfId="533" priority="541" operator="greaterThan">
      <formula>0.03</formula>
    </cfRule>
    <cfRule type="cellIs" dxfId="532" priority="542" stopIfTrue="1" operator="lessThan">
      <formula>-0.03</formula>
    </cfRule>
  </conditionalFormatting>
  <conditionalFormatting sqref="I24:I26">
    <cfRule type="cellIs" dxfId="531" priority="543" operator="greaterThan">
      <formula>0.03</formula>
    </cfRule>
    <cfRule type="cellIs" dxfId="530" priority="544" stopIfTrue="1" operator="lessThan">
      <formula>-0.03</formula>
    </cfRule>
  </conditionalFormatting>
  <conditionalFormatting sqref="I23">
    <cfRule type="cellIs" dxfId="529" priority="539" operator="greaterThan">
      <formula>0.03</formula>
    </cfRule>
    <cfRule type="cellIs" dxfId="528" priority="540" stopIfTrue="1" operator="lessThan">
      <formula>-0.03</formula>
    </cfRule>
  </conditionalFormatting>
  <conditionalFormatting sqref="I23">
    <cfRule type="cellIs" dxfId="527" priority="537" operator="greaterThan">
      <formula>0.03</formula>
    </cfRule>
    <cfRule type="cellIs" dxfId="526" priority="538" stopIfTrue="1" operator="lessThan">
      <formula>-0.03</formula>
    </cfRule>
  </conditionalFormatting>
  <conditionalFormatting sqref="I23">
    <cfRule type="cellIs" dxfId="525" priority="535" operator="greaterThan">
      <formula>0.03</formula>
    </cfRule>
    <cfRule type="cellIs" dxfId="524" priority="536" stopIfTrue="1" operator="lessThan">
      <formula>-0.03</formula>
    </cfRule>
  </conditionalFormatting>
  <conditionalFormatting sqref="I23">
    <cfRule type="cellIs" dxfId="523" priority="533" operator="greaterThan">
      <formula>0.03</formula>
    </cfRule>
    <cfRule type="cellIs" dxfId="522" priority="534" stopIfTrue="1" operator="lessThan">
      <formula>-0.03</formula>
    </cfRule>
  </conditionalFormatting>
  <conditionalFormatting sqref="I23">
    <cfRule type="cellIs" dxfId="521" priority="531" operator="greaterThan">
      <formula>0.03</formula>
    </cfRule>
    <cfRule type="cellIs" dxfId="520" priority="532" stopIfTrue="1" operator="lessThan">
      <formula>-0.03</formula>
    </cfRule>
  </conditionalFormatting>
  <conditionalFormatting sqref="I44:I46">
    <cfRule type="cellIs" dxfId="519" priority="519" operator="greaterThan">
      <formula>0.03</formula>
    </cfRule>
    <cfRule type="cellIs" dxfId="518" priority="520" stopIfTrue="1" operator="lessThan">
      <formula>-0.03</formula>
    </cfRule>
  </conditionalFormatting>
  <conditionalFormatting sqref="I44:I46">
    <cfRule type="cellIs" dxfId="517" priority="517" operator="greaterThan">
      <formula>0.03</formula>
    </cfRule>
    <cfRule type="cellIs" dxfId="516" priority="518" stopIfTrue="1" operator="lessThan">
      <formula>-0.03</formula>
    </cfRule>
  </conditionalFormatting>
  <conditionalFormatting sqref="I44:I46">
    <cfRule type="cellIs" dxfId="515" priority="515" operator="greaterThan">
      <formula>0.03</formula>
    </cfRule>
    <cfRule type="cellIs" dxfId="514" priority="516" stopIfTrue="1" operator="lessThan">
      <formula>-0.03</formula>
    </cfRule>
  </conditionalFormatting>
  <conditionalFormatting sqref="I44:I46">
    <cfRule type="cellIs" dxfId="513" priority="513" operator="greaterThan">
      <formula>0.03</formula>
    </cfRule>
    <cfRule type="cellIs" dxfId="512" priority="514" stopIfTrue="1" operator="lessThan">
      <formula>-0.03</formula>
    </cfRule>
  </conditionalFormatting>
  <conditionalFormatting sqref="I44:I46">
    <cfRule type="cellIs" dxfId="511" priority="511" operator="greaterThan">
      <formula>0.03</formula>
    </cfRule>
    <cfRule type="cellIs" dxfId="510" priority="512" stopIfTrue="1" operator="lessThan">
      <formula>-0.03</formula>
    </cfRule>
  </conditionalFormatting>
  <conditionalFormatting sqref="I40:I42">
    <cfRule type="cellIs" dxfId="509" priority="509" operator="greaterThan">
      <formula>0.03</formula>
    </cfRule>
    <cfRule type="cellIs" dxfId="508" priority="510" stopIfTrue="1" operator="lessThan">
      <formula>-0.03</formula>
    </cfRule>
  </conditionalFormatting>
  <conditionalFormatting sqref="I40:I42">
    <cfRule type="cellIs" dxfId="507" priority="507" operator="greaterThan">
      <formula>0.03</formula>
    </cfRule>
    <cfRule type="cellIs" dxfId="506" priority="508" stopIfTrue="1" operator="lessThan">
      <formula>-0.03</formula>
    </cfRule>
  </conditionalFormatting>
  <conditionalFormatting sqref="I43">
    <cfRule type="cellIs" dxfId="505" priority="489" operator="greaterThan">
      <formula>0.03</formula>
    </cfRule>
    <cfRule type="cellIs" dxfId="504" priority="490" stopIfTrue="1" operator="lessThan">
      <formula>-0.03</formula>
    </cfRule>
  </conditionalFormatting>
  <conditionalFormatting sqref="I43">
    <cfRule type="cellIs" dxfId="503" priority="487" operator="greaterThan">
      <formula>0.03</formula>
    </cfRule>
    <cfRule type="cellIs" dxfId="502" priority="488" stopIfTrue="1" operator="lessThan">
      <formula>-0.03</formula>
    </cfRule>
  </conditionalFormatting>
  <conditionalFormatting sqref="I43">
    <cfRule type="cellIs" dxfId="501" priority="485" operator="greaterThan">
      <formula>0.03</formula>
    </cfRule>
    <cfRule type="cellIs" dxfId="500" priority="486" stopIfTrue="1" operator="lessThan">
      <formula>-0.03</formula>
    </cfRule>
  </conditionalFormatting>
  <conditionalFormatting sqref="I43">
    <cfRule type="cellIs" dxfId="499" priority="483" operator="greaterThan">
      <formula>0.03</formula>
    </cfRule>
    <cfRule type="cellIs" dxfId="498" priority="484" stopIfTrue="1" operator="lessThan">
      <formula>-0.03</formula>
    </cfRule>
  </conditionalFormatting>
  <conditionalFormatting sqref="I43">
    <cfRule type="cellIs" dxfId="497" priority="481" operator="greaterThan">
      <formula>0.03</formula>
    </cfRule>
    <cfRule type="cellIs" dxfId="496" priority="482" stopIfTrue="1" operator="lessThan">
      <formula>-0.03</formula>
    </cfRule>
  </conditionalFormatting>
  <conditionalFormatting sqref="I40:I42">
    <cfRule type="cellIs" dxfId="495" priority="505" operator="greaterThan">
      <formula>0.03</formula>
    </cfRule>
    <cfRule type="cellIs" dxfId="494" priority="506" stopIfTrue="1" operator="lessThan">
      <formula>-0.03</formula>
    </cfRule>
  </conditionalFormatting>
  <conditionalFormatting sqref="I40:I42">
    <cfRule type="cellIs" dxfId="493" priority="501" operator="greaterThan">
      <formula>0.03</formula>
    </cfRule>
    <cfRule type="cellIs" dxfId="492" priority="502" stopIfTrue="1" operator="lessThan">
      <formula>-0.03</formula>
    </cfRule>
  </conditionalFormatting>
  <conditionalFormatting sqref="I40:I42">
    <cfRule type="cellIs" dxfId="491" priority="503" operator="greaterThan">
      <formula>0.03</formula>
    </cfRule>
    <cfRule type="cellIs" dxfId="490" priority="504" stopIfTrue="1" operator="lessThan">
      <formula>-0.03</formula>
    </cfRule>
  </conditionalFormatting>
  <conditionalFormatting sqref="I39">
    <cfRule type="cellIs" dxfId="489" priority="499" operator="greaterThan">
      <formula>0.03</formula>
    </cfRule>
    <cfRule type="cellIs" dxfId="488" priority="500" stopIfTrue="1" operator="lessThan">
      <formula>-0.03</formula>
    </cfRule>
  </conditionalFormatting>
  <conditionalFormatting sqref="I39">
    <cfRule type="cellIs" dxfId="487" priority="497" operator="greaterThan">
      <formula>0.03</formula>
    </cfRule>
    <cfRule type="cellIs" dxfId="486" priority="498" stopIfTrue="1" operator="lessThan">
      <formula>-0.03</formula>
    </cfRule>
  </conditionalFormatting>
  <conditionalFormatting sqref="I39">
    <cfRule type="cellIs" dxfId="485" priority="495" operator="greaterThan">
      <formula>0.03</formula>
    </cfRule>
    <cfRule type="cellIs" dxfId="484" priority="496" stopIfTrue="1" operator="lessThan">
      <formula>-0.03</formula>
    </cfRule>
  </conditionalFormatting>
  <conditionalFormatting sqref="I39">
    <cfRule type="cellIs" dxfId="483" priority="493" operator="greaterThan">
      <formula>0.03</formula>
    </cfRule>
    <cfRule type="cellIs" dxfId="482" priority="494" stopIfTrue="1" operator="lessThan">
      <formula>-0.03</formula>
    </cfRule>
  </conditionalFormatting>
  <conditionalFormatting sqref="I39">
    <cfRule type="cellIs" dxfId="481" priority="491" operator="greaterThan">
      <formula>0.03</formula>
    </cfRule>
    <cfRule type="cellIs" dxfId="480" priority="492" stopIfTrue="1" operator="lessThan">
      <formula>-0.03</formula>
    </cfRule>
  </conditionalFormatting>
  <conditionalFormatting sqref="I64:I66">
    <cfRule type="cellIs" dxfId="479" priority="479" operator="greaterThan">
      <formula>0.03</formula>
    </cfRule>
    <cfRule type="cellIs" dxfId="478" priority="480" stopIfTrue="1" operator="lessThan">
      <formula>-0.03</formula>
    </cfRule>
  </conditionalFormatting>
  <conditionalFormatting sqref="I64:I66">
    <cfRule type="cellIs" dxfId="477" priority="477" operator="greaterThan">
      <formula>0.03</formula>
    </cfRule>
    <cfRule type="cellIs" dxfId="476" priority="478" stopIfTrue="1" operator="lessThan">
      <formula>-0.03</formula>
    </cfRule>
  </conditionalFormatting>
  <conditionalFormatting sqref="I64:I66">
    <cfRule type="cellIs" dxfId="475" priority="475" operator="greaterThan">
      <formula>0.03</formula>
    </cfRule>
    <cfRule type="cellIs" dxfId="474" priority="476" stopIfTrue="1" operator="lessThan">
      <formula>-0.03</formula>
    </cfRule>
  </conditionalFormatting>
  <conditionalFormatting sqref="I64:I66">
    <cfRule type="cellIs" dxfId="473" priority="473" operator="greaterThan">
      <formula>0.03</formula>
    </cfRule>
    <cfRule type="cellIs" dxfId="472" priority="474" stopIfTrue="1" operator="lessThan">
      <formula>-0.03</formula>
    </cfRule>
  </conditionalFormatting>
  <conditionalFormatting sqref="I64:I66">
    <cfRule type="cellIs" dxfId="471" priority="471" operator="greaterThan">
      <formula>0.03</formula>
    </cfRule>
    <cfRule type="cellIs" dxfId="470" priority="472" stopIfTrue="1" operator="lessThan">
      <formula>-0.03</formula>
    </cfRule>
  </conditionalFormatting>
  <conditionalFormatting sqref="I56:I58">
    <cfRule type="cellIs" dxfId="469" priority="469" operator="greaterThan">
      <formula>0.03</formula>
    </cfRule>
    <cfRule type="cellIs" dxfId="468" priority="470" stopIfTrue="1" operator="lessThan">
      <formula>-0.03</formula>
    </cfRule>
  </conditionalFormatting>
  <conditionalFormatting sqref="I56:I58">
    <cfRule type="cellIs" dxfId="467" priority="467" operator="greaterThan">
      <formula>0.03</formula>
    </cfRule>
    <cfRule type="cellIs" dxfId="466" priority="468" stopIfTrue="1" operator="lessThan">
      <formula>-0.03</formula>
    </cfRule>
  </conditionalFormatting>
  <conditionalFormatting sqref="I63">
    <cfRule type="cellIs" dxfId="465" priority="449" operator="greaterThan">
      <formula>0.03</formula>
    </cfRule>
    <cfRule type="cellIs" dxfId="464" priority="450" stopIfTrue="1" operator="lessThan">
      <formula>-0.03</formula>
    </cfRule>
  </conditionalFormatting>
  <conditionalFormatting sqref="I63">
    <cfRule type="cellIs" dxfId="463" priority="447" operator="greaterThan">
      <formula>0.03</formula>
    </cfRule>
    <cfRule type="cellIs" dxfId="462" priority="448" stopIfTrue="1" operator="lessThan">
      <formula>-0.03</formula>
    </cfRule>
  </conditionalFormatting>
  <conditionalFormatting sqref="I63">
    <cfRule type="cellIs" dxfId="461" priority="445" operator="greaterThan">
      <formula>0.03</formula>
    </cfRule>
    <cfRule type="cellIs" dxfId="460" priority="446" stopIfTrue="1" operator="lessThan">
      <formula>-0.03</formula>
    </cfRule>
  </conditionalFormatting>
  <conditionalFormatting sqref="I63">
    <cfRule type="cellIs" dxfId="459" priority="443" operator="greaterThan">
      <formula>0.03</formula>
    </cfRule>
    <cfRule type="cellIs" dxfId="458" priority="444" stopIfTrue="1" operator="lessThan">
      <formula>-0.03</formula>
    </cfRule>
  </conditionalFormatting>
  <conditionalFormatting sqref="I63">
    <cfRule type="cellIs" dxfId="457" priority="441" operator="greaterThan">
      <formula>0.03</formula>
    </cfRule>
    <cfRule type="cellIs" dxfId="456" priority="442" stopIfTrue="1" operator="lessThan">
      <formula>-0.03</formula>
    </cfRule>
  </conditionalFormatting>
  <conditionalFormatting sqref="I56:I58">
    <cfRule type="cellIs" dxfId="455" priority="465" operator="greaterThan">
      <formula>0.03</formula>
    </cfRule>
    <cfRule type="cellIs" dxfId="454" priority="466" stopIfTrue="1" operator="lessThan">
      <formula>-0.03</formula>
    </cfRule>
  </conditionalFormatting>
  <conditionalFormatting sqref="I56:I58">
    <cfRule type="cellIs" dxfId="453" priority="461" operator="greaterThan">
      <formula>0.03</formula>
    </cfRule>
    <cfRule type="cellIs" dxfId="452" priority="462" stopIfTrue="1" operator="lessThan">
      <formula>-0.03</formula>
    </cfRule>
  </conditionalFormatting>
  <conditionalFormatting sqref="I56:I58">
    <cfRule type="cellIs" dxfId="451" priority="463" operator="greaterThan">
      <formula>0.03</formula>
    </cfRule>
    <cfRule type="cellIs" dxfId="450" priority="464" stopIfTrue="1" operator="lessThan">
      <formula>-0.03</formula>
    </cfRule>
  </conditionalFormatting>
  <conditionalFormatting sqref="I55">
    <cfRule type="cellIs" dxfId="449" priority="459" operator="greaterThan">
      <formula>0.03</formula>
    </cfRule>
    <cfRule type="cellIs" dxfId="448" priority="460" stopIfTrue="1" operator="lessThan">
      <formula>-0.03</formula>
    </cfRule>
  </conditionalFormatting>
  <conditionalFormatting sqref="I55">
    <cfRule type="cellIs" dxfId="447" priority="457" operator="greaterThan">
      <formula>0.03</formula>
    </cfRule>
    <cfRule type="cellIs" dxfId="446" priority="458" stopIfTrue="1" operator="lessThan">
      <formula>-0.03</formula>
    </cfRule>
  </conditionalFormatting>
  <conditionalFormatting sqref="I55">
    <cfRule type="cellIs" dxfId="445" priority="455" operator="greaterThan">
      <formula>0.03</formula>
    </cfRule>
    <cfRule type="cellIs" dxfId="444" priority="456" stopIfTrue="1" operator="lessThan">
      <formula>-0.03</formula>
    </cfRule>
  </conditionalFormatting>
  <conditionalFormatting sqref="I55">
    <cfRule type="cellIs" dxfId="443" priority="453" operator="greaterThan">
      <formula>0.03</formula>
    </cfRule>
    <cfRule type="cellIs" dxfId="442" priority="454" stopIfTrue="1" operator="lessThan">
      <formula>-0.03</formula>
    </cfRule>
  </conditionalFormatting>
  <conditionalFormatting sqref="I55">
    <cfRule type="cellIs" dxfId="441" priority="451" operator="greaterThan">
      <formula>0.03</formula>
    </cfRule>
    <cfRule type="cellIs" dxfId="440" priority="452" stopIfTrue="1" operator="lessThan">
      <formula>-0.03</formula>
    </cfRule>
  </conditionalFormatting>
  <conditionalFormatting sqref="I36:I38">
    <cfRule type="cellIs" dxfId="439" priority="439" operator="greaterThan">
      <formula>0.03</formula>
    </cfRule>
    <cfRule type="cellIs" dxfId="438" priority="440" stopIfTrue="1" operator="lessThan">
      <formula>-0.03</formula>
    </cfRule>
  </conditionalFormatting>
  <conditionalFormatting sqref="I36:I38">
    <cfRule type="cellIs" dxfId="437" priority="437" operator="greaterThan">
      <formula>0.03</formula>
    </cfRule>
    <cfRule type="cellIs" dxfId="436" priority="438" stopIfTrue="1" operator="lessThan">
      <formula>-0.03</formula>
    </cfRule>
  </conditionalFormatting>
  <conditionalFormatting sqref="I36:I38">
    <cfRule type="cellIs" dxfId="435" priority="435" operator="greaterThan">
      <formula>0.03</formula>
    </cfRule>
    <cfRule type="cellIs" dxfId="434" priority="436" stopIfTrue="1" operator="lessThan">
      <formula>-0.03</formula>
    </cfRule>
  </conditionalFormatting>
  <conditionalFormatting sqref="I36:I38">
    <cfRule type="cellIs" dxfId="433" priority="433" operator="greaterThan">
      <formula>0.03</formula>
    </cfRule>
    <cfRule type="cellIs" dxfId="432" priority="434" stopIfTrue="1" operator="lessThan">
      <formula>-0.03</formula>
    </cfRule>
  </conditionalFormatting>
  <conditionalFormatting sqref="I36:I38">
    <cfRule type="cellIs" dxfId="431" priority="431" operator="greaterThan">
      <formula>0.03</formula>
    </cfRule>
    <cfRule type="cellIs" dxfId="430" priority="432" stopIfTrue="1" operator="lessThan">
      <formula>-0.03</formula>
    </cfRule>
  </conditionalFormatting>
  <conditionalFormatting sqref="I32:I34">
    <cfRule type="cellIs" dxfId="429" priority="429" operator="greaterThan">
      <formula>0.03</formula>
    </cfRule>
    <cfRule type="cellIs" dxfId="428" priority="430" stopIfTrue="1" operator="lessThan">
      <formula>-0.03</formula>
    </cfRule>
  </conditionalFormatting>
  <conditionalFormatting sqref="I32:I34">
    <cfRule type="cellIs" dxfId="427" priority="427" operator="greaterThan">
      <formula>0.03</formula>
    </cfRule>
    <cfRule type="cellIs" dxfId="426" priority="428" stopIfTrue="1" operator="lessThan">
      <formula>-0.03</formula>
    </cfRule>
  </conditionalFormatting>
  <conditionalFormatting sqref="I35">
    <cfRule type="cellIs" dxfId="425" priority="409" operator="greaterThan">
      <formula>0.03</formula>
    </cfRule>
    <cfRule type="cellIs" dxfId="424" priority="410" stopIfTrue="1" operator="lessThan">
      <formula>-0.03</formula>
    </cfRule>
  </conditionalFormatting>
  <conditionalFormatting sqref="I35">
    <cfRule type="cellIs" dxfId="423" priority="407" operator="greaterThan">
      <formula>0.03</formula>
    </cfRule>
    <cfRule type="cellIs" dxfId="422" priority="408" stopIfTrue="1" operator="lessThan">
      <formula>-0.03</formula>
    </cfRule>
  </conditionalFormatting>
  <conditionalFormatting sqref="I35">
    <cfRule type="cellIs" dxfId="421" priority="405" operator="greaterThan">
      <formula>0.03</formula>
    </cfRule>
    <cfRule type="cellIs" dxfId="420" priority="406" stopIfTrue="1" operator="lessThan">
      <formula>-0.03</formula>
    </cfRule>
  </conditionalFormatting>
  <conditionalFormatting sqref="I35">
    <cfRule type="cellIs" dxfId="419" priority="403" operator="greaterThan">
      <formula>0.03</formula>
    </cfRule>
    <cfRule type="cellIs" dxfId="418" priority="404" stopIfTrue="1" operator="lessThan">
      <formula>-0.03</formula>
    </cfRule>
  </conditionalFormatting>
  <conditionalFormatting sqref="I35">
    <cfRule type="cellIs" dxfId="417" priority="401" operator="greaterThan">
      <formula>0.03</formula>
    </cfRule>
    <cfRule type="cellIs" dxfId="416" priority="402" stopIfTrue="1" operator="lessThan">
      <formula>-0.03</formula>
    </cfRule>
  </conditionalFormatting>
  <conditionalFormatting sqref="I32:I34">
    <cfRule type="cellIs" dxfId="415" priority="425" operator="greaterThan">
      <formula>0.03</formula>
    </cfRule>
    <cfRule type="cellIs" dxfId="414" priority="426" stopIfTrue="1" operator="lessThan">
      <formula>-0.03</formula>
    </cfRule>
  </conditionalFormatting>
  <conditionalFormatting sqref="I32:I34">
    <cfRule type="cellIs" dxfId="413" priority="421" operator="greaterThan">
      <formula>0.03</formula>
    </cfRule>
    <cfRule type="cellIs" dxfId="412" priority="422" stopIfTrue="1" operator="lessThan">
      <formula>-0.03</formula>
    </cfRule>
  </conditionalFormatting>
  <conditionalFormatting sqref="I32:I34">
    <cfRule type="cellIs" dxfId="411" priority="423" operator="greaterThan">
      <formula>0.03</formula>
    </cfRule>
    <cfRule type="cellIs" dxfId="410" priority="424" stopIfTrue="1" operator="lessThan">
      <formula>-0.03</formula>
    </cfRule>
  </conditionalFormatting>
  <conditionalFormatting sqref="I31">
    <cfRule type="cellIs" dxfId="409" priority="419" operator="greaterThan">
      <formula>0.03</formula>
    </cfRule>
    <cfRule type="cellIs" dxfId="408" priority="420" stopIfTrue="1" operator="lessThan">
      <formula>-0.03</formula>
    </cfRule>
  </conditionalFormatting>
  <conditionalFormatting sqref="I31">
    <cfRule type="cellIs" dxfId="407" priority="417" operator="greaterThan">
      <formula>0.03</formula>
    </cfRule>
    <cfRule type="cellIs" dxfId="406" priority="418" stopIfTrue="1" operator="lessThan">
      <formula>-0.03</formula>
    </cfRule>
  </conditionalFormatting>
  <conditionalFormatting sqref="I31">
    <cfRule type="cellIs" dxfId="405" priority="415" operator="greaterThan">
      <formula>0.03</formula>
    </cfRule>
    <cfRule type="cellIs" dxfId="404" priority="416" stopIfTrue="1" operator="lessThan">
      <formula>-0.03</formula>
    </cfRule>
  </conditionalFormatting>
  <conditionalFormatting sqref="I31">
    <cfRule type="cellIs" dxfId="403" priority="413" operator="greaterThan">
      <formula>0.03</formula>
    </cfRule>
    <cfRule type="cellIs" dxfId="402" priority="414" stopIfTrue="1" operator="lessThan">
      <formula>-0.03</formula>
    </cfRule>
  </conditionalFormatting>
  <conditionalFormatting sqref="I31">
    <cfRule type="cellIs" dxfId="401" priority="411" operator="greaterThan">
      <formula>0.03</formula>
    </cfRule>
    <cfRule type="cellIs" dxfId="400" priority="412" stopIfTrue="1" operator="lessThan">
      <formula>-0.03</formula>
    </cfRule>
  </conditionalFormatting>
  <conditionalFormatting sqref="I52:I54">
    <cfRule type="cellIs" dxfId="399" priority="399" operator="greaterThan">
      <formula>0.03</formula>
    </cfRule>
    <cfRule type="cellIs" dxfId="398" priority="400" stopIfTrue="1" operator="lessThan">
      <formula>-0.03</formula>
    </cfRule>
  </conditionalFormatting>
  <conditionalFormatting sqref="I52:I54">
    <cfRule type="cellIs" dxfId="397" priority="397" operator="greaterThan">
      <formula>0.03</formula>
    </cfRule>
    <cfRule type="cellIs" dxfId="396" priority="398" stopIfTrue="1" operator="lessThan">
      <formula>-0.03</formula>
    </cfRule>
  </conditionalFormatting>
  <conditionalFormatting sqref="I52:I54">
    <cfRule type="cellIs" dxfId="395" priority="395" operator="greaterThan">
      <formula>0.03</formula>
    </cfRule>
    <cfRule type="cellIs" dxfId="394" priority="396" stopIfTrue="1" operator="lessThan">
      <formula>-0.03</formula>
    </cfRule>
  </conditionalFormatting>
  <conditionalFormatting sqref="I52:I54">
    <cfRule type="cellIs" dxfId="393" priority="393" operator="greaterThan">
      <formula>0.03</formula>
    </cfRule>
    <cfRule type="cellIs" dxfId="392" priority="394" stopIfTrue="1" operator="lessThan">
      <formula>-0.03</formula>
    </cfRule>
  </conditionalFormatting>
  <conditionalFormatting sqref="I52:I54">
    <cfRule type="cellIs" dxfId="391" priority="391" operator="greaterThan">
      <formula>0.03</formula>
    </cfRule>
    <cfRule type="cellIs" dxfId="390" priority="392" stopIfTrue="1" operator="lessThan">
      <formula>-0.03</formula>
    </cfRule>
  </conditionalFormatting>
  <conditionalFormatting sqref="I48:I50">
    <cfRule type="cellIs" dxfId="389" priority="389" operator="greaterThan">
      <formula>0.03</formula>
    </cfRule>
    <cfRule type="cellIs" dxfId="388" priority="390" stopIfTrue="1" operator="lessThan">
      <formula>-0.03</formula>
    </cfRule>
  </conditionalFormatting>
  <conditionalFormatting sqref="I48:I50">
    <cfRule type="cellIs" dxfId="387" priority="387" operator="greaterThan">
      <formula>0.03</formula>
    </cfRule>
    <cfRule type="cellIs" dxfId="386" priority="388" stopIfTrue="1" operator="lessThan">
      <formula>-0.03</formula>
    </cfRule>
  </conditionalFormatting>
  <conditionalFormatting sqref="I51">
    <cfRule type="cellIs" dxfId="385" priority="369" operator="greaterThan">
      <formula>0.03</formula>
    </cfRule>
    <cfRule type="cellIs" dxfId="384" priority="370" stopIfTrue="1" operator="lessThan">
      <formula>-0.03</formula>
    </cfRule>
  </conditionalFormatting>
  <conditionalFormatting sqref="I51">
    <cfRule type="cellIs" dxfId="383" priority="367" operator="greaterThan">
      <formula>0.03</formula>
    </cfRule>
    <cfRule type="cellIs" dxfId="382" priority="368" stopIfTrue="1" operator="lessThan">
      <formula>-0.03</formula>
    </cfRule>
  </conditionalFormatting>
  <conditionalFormatting sqref="I51">
    <cfRule type="cellIs" dxfId="381" priority="365" operator="greaterThan">
      <formula>0.03</formula>
    </cfRule>
    <cfRule type="cellIs" dxfId="380" priority="366" stopIfTrue="1" operator="lessThan">
      <formula>-0.03</formula>
    </cfRule>
  </conditionalFormatting>
  <conditionalFormatting sqref="I51">
    <cfRule type="cellIs" dxfId="379" priority="363" operator="greaterThan">
      <formula>0.03</formula>
    </cfRule>
    <cfRule type="cellIs" dxfId="378" priority="364" stopIfTrue="1" operator="lessThan">
      <formula>-0.03</formula>
    </cfRule>
  </conditionalFormatting>
  <conditionalFormatting sqref="I51">
    <cfRule type="cellIs" dxfId="377" priority="361" operator="greaterThan">
      <formula>0.03</formula>
    </cfRule>
    <cfRule type="cellIs" dxfId="376" priority="362" stopIfTrue="1" operator="lessThan">
      <formula>-0.03</formula>
    </cfRule>
  </conditionalFormatting>
  <conditionalFormatting sqref="I48:I50">
    <cfRule type="cellIs" dxfId="375" priority="385" operator="greaterThan">
      <formula>0.03</formula>
    </cfRule>
    <cfRule type="cellIs" dxfId="374" priority="386" stopIfTrue="1" operator="lessThan">
      <formula>-0.03</formula>
    </cfRule>
  </conditionalFormatting>
  <conditionalFormatting sqref="I48:I50">
    <cfRule type="cellIs" dxfId="373" priority="381" operator="greaterThan">
      <formula>0.03</formula>
    </cfRule>
    <cfRule type="cellIs" dxfId="372" priority="382" stopIfTrue="1" operator="lessThan">
      <formula>-0.03</formula>
    </cfRule>
  </conditionalFormatting>
  <conditionalFormatting sqref="I48:I50">
    <cfRule type="cellIs" dxfId="371" priority="383" operator="greaterThan">
      <formula>0.03</formula>
    </cfRule>
    <cfRule type="cellIs" dxfId="370" priority="384" stopIfTrue="1" operator="lessThan">
      <formula>-0.03</formula>
    </cfRule>
  </conditionalFormatting>
  <conditionalFormatting sqref="I47">
    <cfRule type="cellIs" dxfId="369" priority="379" operator="greaterThan">
      <formula>0.03</formula>
    </cfRule>
    <cfRule type="cellIs" dxfId="368" priority="380" stopIfTrue="1" operator="lessThan">
      <formula>-0.03</formula>
    </cfRule>
  </conditionalFormatting>
  <conditionalFormatting sqref="I47">
    <cfRule type="cellIs" dxfId="367" priority="377" operator="greaterThan">
      <formula>0.03</formula>
    </cfRule>
    <cfRule type="cellIs" dxfId="366" priority="378" stopIfTrue="1" operator="lessThan">
      <formula>-0.03</formula>
    </cfRule>
  </conditionalFormatting>
  <conditionalFormatting sqref="I47">
    <cfRule type="cellIs" dxfId="365" priority="375" operator="greaterThan">
      <formula>0.03</formula>
    </cfRule>
    <cfRule type="cellIs" dxfId="364" priority="376" stopIfTrue="1" operator="lessThan">
      <formula>-0.03</formula>
    </cfRule>
  </conditionalFormatting>
  <conditionalFormatting sqref="I47">
    <cfRule type="cellIs" dxfId="363" priority="373" operator="greaterThan">
      <formula>0.03</formula>
    </cfRule>
    <cfRule type="cellIs" dxfId="362" priority="374" stopIfTrue="1" operator="lessThan">
      <formula>-0.03</formula>
    </cfRule>
  </conditionalFormatting>
  <conditionalFormatting sqref="I47">
    <cfRule type="cellIs" dxfId="361" priority="371" operator="greaterThan">
      <formula>0.03</formula>
    </cfRule>
    <cfRule type="cellIs" dxfId="360" priority="372" stopIfTrue="1" operator="lessThan">
      <formula>-0.03</formula>
    </cfRule>
  </conditionalFormatting>
  <conditionalFormatting sqref="I60:I62">
    <cfRule type="cellIs" dxfId="359" priority="359" operator="greaterThan">
      <formula>0.03</formula>
    </cfRule>
    <cfRule type="cellIs" dxfId="358" priority="360" stopIfTrue="1" operator="lessThan">
      <formula>-0.03</formula>
    </cfRule>
  </conditionalFormatting>
  <conditionalFormatting sqref="I60:I62">
    <cfRule type="cellIs" dxfId="357" priority="357" operator="greaterThan">
      <formula>0.03</formula>
    </cfRule>
    <cfRule type="cellIs" dxfId="356" priority="358" stopIfTrue="1" operator="lessThan">
      <formula>-0.03</formula>
    </cfRule>
  </conditionalFormatting>
  <conditionalFormatting sqref="I60:I62">
    <cfRule type="cellIs" dxfId="355" priority="355" operator="greaterThan">
      <formula>0.03</formula>
    </cfRule>
    <cfRule type="cellIs" dxfId="354" priority="356" stopIfTrue="1" operator="lessThan">
      <formula>-0.03</formula>
    </cfRule>
  </conditionalFormatting>
  <conditionalFormatting sqref="I60:I62">
    <cfRule type="cellIs" dxfId="353" priority="353" operator="greaterThan">
      <formula>0.03</formula>
    </cfRule>
    <cfRule type="cellIs" dxfId="352" priority="354" stopIfTrue="1" operator="lessThan">
      <formula>-0.03</formula>
    </cfRule>
  </conditionalFormatting>
  <conditionalFormatting sqref="I60:I62">
    <cfRule type="cellIs" dxfId="351" priority="351" operator="greaterThan">
      <formula>0.03</formula>
    </cfRule>
    <cfRule type="cellIs" dxfId="350" priority="352" stopIfTrue="1" operator="lessThan">
      <formula>-0.03</formula>
    </cfRule>
  </conditionalFormatting>
  <conditionalFormatting sqref="I59">
    <cfRule type="cellIs" dxfId="349" priority="349" operator="greaterThan">
      <formula>0.03</formula>
    </cfRule>
    <cfRule type="cellIs" dxfId="348" priority="350" stopIfTrue="1" operator="lessThan">
      <formula>-0.03</formula>
    </cfRule>
  </conditionalFormatting>
  <conditionalFormatting sqref="I59">
    <cfRule type="cellIs" dxfId="347" priority="347" operator="greaterThan">
      <formula>0.03</formula>
    </cfRule>
    <cfRule type="cellIs" dxfId="346" priority="348" stopIfTrue="1" operator="lessThan">
      <formula>-0.03</formula>
    </cfRule>
  </conditionalFormatting>
  <conditionalFormatting sqref="I59">
    <cfRule type="cellIs" dxfId="345" priority="345" operator="greaterThan">
      <formula>0.03</formula>
    </cfRule>
    <cfRule type="cellIs" dxfId="344" priority="346" stopIfTrue="1" operator="lessThan">
      <formula>-0.03</formula>
    </cfRule>
  </conditionalFormatting>
  <conditionalFormatting sqref="I59">
    <cfRule type="cellIs" dxfId="343" priority="343" operator="greaterThan">
      <formula>0.03</formula>
    </cfRule>
    <cfRule type="cellIs" dxfId="342" priority="344" stopIfTrue="1" operator="lessThan">
      <formula>-0.03</formula>
    </cfRule>
  </conditionalFormatting>
  <conditionalFormatting sqref="I59">
    <cfRule type="cellIs" dxfId="341" priority="341" operator="greaterThan">
      <formula>0.03</formula>
    </cfRule>
    <cfRule type="cellIs" dxfId="340" priority="342" stopIfTrue="1" operator="lessThan">
      <formula>-0.03</formula>
    </cfRule>
  </conditionalFormatting>
  <conditionalFormatting sqref="I4:I6 I8:I10">
    <cfRule type="cellIs" dxfId="339" priority="339" operator="greaterThan">
      <formula>0.03</formula>
    </cfRule>
    <cfRule type="cellIs" dxfId="338" priority="340" stopIfTrue="1" operator="lessThan">
      <formula>-0.03</formula>
    </cfRule>
  </conditionalFormatting>
  <conditionalFormatting sqref="I4:I6 I8:I10">
    <cfRule type="cellIs" dxfId="337" priority="337" operator="greaterThan">
      <formula>0.03</formula>
    </cfRule>
    <cfRule type="cellIs" dxfId="336" priority="338" stopIfTrue="1" operator="lessThan">
      <formula>-0.03</formula>
    </cfRule>
  </conditionalFormatting>
  <conditionalFormatting sqref="I4:I6 I8:I10">
    <cfRule type="cellIs" dxfId="335" priority="335" operator="greaterThan">
      <formula>0.03</formula>
    </cfRule>
    <cfRule type="cellIs" dxfId="334" priority="336" stopIfTrue="1" operator="lessThan">
      <formula>-0.03</formula>
    </cfRule>
  </conditionalFormatting>
  <conditionalFormatting sqref="I4:I6 I8:I10">
    <cfRule type="cellIs" dxfId="333" priority="331" operator="greaterThan">
      <formula>0.03</formula>
    </cfRule>
    <cfRule type="cellIs" dxfId="332" priority="332" stopIfTrue="1" operator="lessThan">
      <formula>-0.03</formula>
    </cfRule>
  </conditionalFormatting>
  <conditionalFormatting sqref="I4:I6 I8:I10">
    <cfRule type="cellIs" dxfId="331" priority="333" operator="greaterThan">
      <formula>0.03</formula>
    </cfRule>
    <cfRule type="cellIs" dxfId="330" priority="334" stopIfTrue="1" operator="lessThan">
      <formula>-0.03</formula>
    </cfRule>
  </conditionalFormatting>
  <conditionalFormatting sqref="I3">
    <cfRule type="cellIs" dxfId="329" priority="329" operator="greaterThan">
      <formula>0.03</formula>
    </cfRule>
    <cfRule type="cellIs" dxfId="328" priority="330" stopIfTrue="1" operator="lessThan">
      <formula>-0.03</formula>
    </cfRule>
  </conditionalFormatting>
  <conditionalFormatting sqref="I3">
    <cfRule type="cellIs" dxfId="327" priority="327" operator="greaterThan">
      <formula>0.03</formula>
    </cfRule>
    <cfRule type="cellIs" dxfId="326" priority="328" stopIfTrue="1" operator="lessThan">
      <formula>-0.03</formula>
    </cfRule>
  </conditionalFormatting>
  <conditionalFormatting sqref="I3">
    <cfRule type="cellIs" dxfId="325" priority="325" operator="greaterThan">
      <formula>0.03</formula>
    </cfRule>
    <cfRule type="cellIs" dxfId="324" priority="326" stopIfTrue="1" operator="lessThan">
      <formula>-0.03</formula>
    </cfRule>
  </conditionalFormatting>
  <conditionalFormatting sqref="I3">
    <cfRule type="cellIs" dxfId="323" priority="323" operator="greaterThan">
      <formula>0.03</formula>
    </cfRule>
    <cfRule type="cellIs" dxfId="322" priority="324" stopIfTrue="1" operator="lessThan">
      <formula>-0.03</formula>
    </cfRule>
  </conditionalFormatting>
  <conditionalFormatting sqref="I3">
    <cfRule type="cellIs" dxfId="321" priority="321" operator="greaterThan">
      <formula>0.03</formula>
    </cfRule>
    <cfRule type="cellIs" dxfId="320" priority="322" stopIfTrue="1" operator="lessThan">
      <formula>-0.03</formula>
    </cfRule>
  </conditionalFormatting>
  <conditionalFormatting sqref="I7">
    <cfRule type="cellIs" dxfId="319" priority="319" operator="greaterThan">
      <formula>0.03</formula>
    </cfRule>
    <cfRule type="cellIs" dxfId="318" priority="320" stopIfTrue="1" operator="lessThan">
      <formula>-0.03</formula>
    </cfRule>
  </conditionalFormatting>
  <conditionalFormatting sqref="I7">
    <cfRule type="cellIs" dxfId="317" priority="317" operator="greaterThan">
      <formula>0.03</formula>
    </cfRule>
    <cfRule type="cellIs" dxfId="316" priority="318" stopIfTrue="1" operator="lessThan">
      <formula>-0.03</formula>
    </cfRule>
  </conditionalFormatting>
  <conditionalFormatting sqref="I7">
    <cfRule type="cellIs" dxfId="315" priority="315" operator="greaterThan">
      <formula>0.03</formula>
    </cfRule>
    <cfRule type="cellIs" dxfId="314" priority="316" stopIfTrue="1" operator="lessThan">
      <formula>-0.03</formula>
    </cfRule>
  </conditionalFormatting>
  <conditionalFormatting sqref="I7">
    <cfRule type="cellIs" dxfId="313" priority="313" operator="greaterThan">
      <formula>0.03</formula>
    </cfRule>
    <cfRule type="cellIs" dxfId="312" priority="314" stopIfTrue="1" operator="lessThan">
      <formula>-0.03</formula>
    </cfRule>
  </conditionalFormatting>
  <conditionalFormatting sqref="I7">
    <cfRule type="cellIs" dxfId="311" priority="311" operator="greaterThan">
      <formula>0.03</formula>
    </cfRule>
    <cfRule type="cellIs" dxfId="310" priority="312" stopIfTrue="1" operator="lessThan">
      <formula>-0.03</formula>
    </cfRule>
  </conditionalFormatting>
  <conditionalFormatting sqref="I15">
    <cfRule type="cellIs" dxfId="309" priority="309" operator="greaterThan">
      <formula>0.03</formula>
    </cfRule>
    <cfRule type="cellIs" dxfId="308" priority="310" stopIfTrue="1" operator="lessThan">
      <formula>-0.03</formula>
    </cfRule>
  </conditionalFormatting>
  <conditionalFormatting sqref="I15">
    <cfRule type="cellIs" dxfId="307" priority="307" operator="greaterThan">
      <formula>0.03</formula>
    </cfRule>
    <cfRule type="cellIs" dxfId="306" priority="308" stopIfTrue="1" operator="lessThan">
      <formula>-0.03</formula>
    </cfRule>
  </conditionalFormatting>
  <conditionalFormatting sqref="I15">
    <cfRule type="cellIs" dxfId="305" priority="305" operator="greaterThan">
      <formula>0.03</formula>
    </cfRule>
    <cfRule type="cellIs" dxfId="304" priority="306" stopIfTrue="1" operator="lessThan">
      <formula>-0.03</formula>
    </cfRule>
  </conditionalFormatting>
  <conditionalFormatting sqref="I15">
    <cfRule type="cellIs" dxfId="303" priority="303" operator="greaterThan">
      <formula>0.03</formula>
    </cfRule>
    <cfRule type="cellIs" dxfId="302" priority="304" stopIfTrue="1" operator="lessThan">
      <formula>-0.03</formula>
    </cfRule>
  </conditionalFormatting>
  <conditionalFormatting sqref="I15">
    <cfRule type="cellIs" dxfId="301" priority="301" operator="greaterThan">
      <formula>0.03</formula>
    </cfRule>
    <cfRule type="cellIs" dxfId="300" priority="302" stopIfTrue="1" operator="lessThan">
      <formula>-0.03</formula>
    </cfRule>
  </conditionalFormatting>
  <conditionalFormatting sqref="I72:I74">
    <cfRule type="cellIs" dxfId="299" priority="299" operator="greaterThan">
      <formula>0.03</formula>
    </cfRule>
    <cfRule type="cellIs" dxfId="298" priority="300" stopIfTrue="1" operator="lessThan">
      <formula>-0.03</formula>
    </cfRule>
  </conditionalFormatting>
  <conditionalFormatting sqref="I72:I74">
    <cfRule type="cellIs" dxfId="297" priority="297" operator="greaterThan">
      <formula>0.03</formula>
    </cfRule>
    <cfRule type="cellIs" dxfId="296" priority="298" stopIfTrue="1" operator="lessThan">
      <formula>-0.03</formula>
    </cfRule>
  </conditionalFormatting>
  <conditionalFormatting sqref="I72:I74">
    <cfRule type="cellIs" dxfId="295" priority="295" operator="greaterThan">
      <formula>0.03</formula>
    </cfRule>
    <cfRule type="cellIs" dxfId="294" priority="296" stopIfTrue="1" operator="lessThan">
      <formula>-0.03</formula>
    </cfRule>
  </conditionalFormatting>
  <conditionalFormatting sqref="I72:I74">
    <cfRule type="cellIs" dxfId="293" priority="293" operator="greaterThan">
      <formula>0.03</formula>
    </cfRule>
    <cfRule type="cellIs" dxfId="292" priority="294" stopIfTrue="1" operator="lessThan">
      <formula>-0.03</formula>
    </cfRule>
  </conditionalFormatting>
  <conditionalFormatting sqref="I72:I74">
    <cfRule type="cellIs" dxfId="291" priority="291" operator="greaterThan">
      <formula>0.03</formula>
    </cfRule>
    <cfRule type="cellIs" dxfId="290" priority="292" stopIfTrue="1" operator="lessThan">
      <formula>-0.03</formula>
    </cfRule>
  </conditionalFormatting>
  <conditionalFormatting sqref="I68:I70">
    <cfRule type="cellIs" dxfId="289" priority="289" operator="greaterThan">
      <formula>0.03</formula>
    </cfRule>
    <cfRule type="cellIs" dxfId="288" priority="290" stopIfTrue="1" operator="lessThan">
      <formula>-0.03</formula>
    </cfRule>
  </conditionalFormatting>
  <conditionalFormatting sqref="I68:I70">
    <cfRule type="cellIs" dxfId="287" priority="287" operator="greaterThan">
      <formula>0.03</formula>
    </cfRule>
    <cfRule type="cellIs" dxfId="286" priority="288" stopIfTrue="1" operator="lessThan">
      <formula>-0.03</formula>
    </cfRule>
  </conditionalFormatting>
  <conditionalFormatting sqref="I71">
    <cfRule type="cellIs" dxfId="285" priority="269" operator="greaterThan">
      <formula>0.03</formula>
    </cfRule>
    <cfRule type="cellIs" dxfId="284" priority="270" stopIfTrue="1" operator="lessThan">
      <formula>-0.03</formula>
    </cfRule>
  </conditionalFormatting>
  <conditionalFormatting sqref="I71">
    <cfRule type="cellIs" dxfId="283" priority="267" operator="greaterThan">
      <formula>0.03</formula>
    </cfRule>
    <cfRule type="cellIs" dxfId="282" priority="268" stopIfTrue="1" operator="lessThan">
      <formula>-0.03</formula>
    </cfRule>
  </conditionalFormatting>
  <conditionalFormatting sqref="I71">
    <cfRule type="cellIs" dxfId="281" priority="265" operator="greaterThan">
      <formula>0.03</formula>
    </cfRule>
    <cfRule type="cellIs" dxfId="280" priority="266" stopIfTrue="1" operator="lessThan">
      <formula>-0.03</formula>
    </cfRule>
  </conditionalFormatting>
  <conditionalFormatting sqref="I71">
    <cfRule type="cellIs" dxfId="279" priority="263" operator="greaterThan">
      <formula>0.03</formula>
    </cfRule>
    <cfRule type="cellIs" dxfId="278" priority="264" stopIfTrue="1" operator="lessThan">
      <formula>-0.03</formula>
    </cfRule>
  </conditionalFormatting>
  <conditionalFormatting sqref="I71">
    <cfRule type="cellIs" dxfId="277" priority="261" operator="greaterThan">
      <formula>0.03</formula>
    </cfRule>
    <cfRule type="cellIs" dxfId="276" priority="262" stopIfTrue="1" operator="lessThan">
      <formula>-0.03</formula>
    </cfRule>
  </conditionalFormatting>
  <conditionalFormatting sqref="I68:I70">
    <cfRule type="cellIs" dxfId="275" priority="285" operator="greaterThan">
      <formula>0.03</formula>
    </cfRule>
    <cfRule type="cellIs" dxfId="274" priority="286" stopIfTrue="1" operator="lessThan">
      <formula>-0.03</formula>
    </cfRule>
  </conditionalFormatting>
  <conditionalFormatting sqref="I68:I70">
    <cfRule type="cellIs" dxfId="273" priority="281" operator="greaterThan">
      <formula>0.03</formula>
    </cfRule>
    <cfRule type="cellIs" dxfId="272" priority="282" stopIfTrue="1" operator="lessThan">
      <formula>-0.03</formula>
    </cfRule>
  </conditionalFormatting>
  <conditionalFormatting sqref="I68:I70">
    <cfRule type="cellIs" dxfId="271" priority="283" operator="greaterThan">
      <formula>0.03</formula>
    </cfRule>
    <cfRule type="cellIs" dxfId="270" priority="284" stopIfTrue="1" operator="lessThan">
      <formula>-0.03</formula>
    </cfRule>
  </conditionalFormatting>
  <conditionalFormatting sqref="I67">
    <cfRule type="cellIs" dxfId="269" priority="279" operator="greaterThan">
      <formula>0.03</formula>
    </cfRule>
    <cfRule type="cellIs" dxfId="268" priority="280" stopIfTrue="1" operator="lessThan">
      <formula>-0.03</formula>
    </cfRule>
  </conditionalFormatting>
  <conditionalFormatting sqref="I67">
    <cfRule type="cellIs" dxfId="267" priority="277" operator="greaterThan">
      <formula>0.03</formula>
    </cfRule>
    <cfRule type="cellIs" dxfId="266" priority="278" stopIfTrue="1" operator="lessThan">
      <formula>-0.03</formula>
    </cfRule>
  </conditionalFormatting>
  <conditionalFormatting sqref="I67">
    <cfRule type="cellIs" dxfId="265" priority="275" operator="greaterThan">
      <formula>0.03</formula>
    </cfRule>
    <cfRule type="cellIs" dxfId="264" priority="276" stopIfTrue="1" operator="lessThan">
      <formula>-0.03</formula>
    </cfRule>
  </conditionalFormatting>
  <conditionalFormatting sqref="I67">
    <cfRule type="cellIs" dxfId="263" priority="273" operator="greaterThan">
      <formula>0.03</formula>
    </cfRule>
    <cfRule type="cellIs" dxfId="262" priority="274" stopIfTrue="1" operator="lessThan">
      <formula>-0.03</formula>
    </cfRule>
  </conditionalFormatting>
  <conditionalFormatting sqref="I67">
    <cfRule type="cellIs" dxfId="261" priority="271" operator="greaterThan">
      <formula>0.03</formula>
    </cfRule>
    <cfRule type="cellIs" dxfId="260" priority="272" stopIfTrue="1" operator="lessThan">
      <formula>-0.03</formula>
    </cfRule>
  </conditionalFormatting>
  <conditionalFormatting sqref="I92:I94">
    <cfRule type="cellIs" dxfId="259" priority="259" operator="greaterThan">
      <formula>0.03</formula>
    </cfRule>
    <cfRule type="cellIs" dxfId="258" priority="260" stopIfTrue="1" operator="lessThan">
      <formula>-0.03</formula>
    </cfRule>
  </conditionalFormatting>
  <conditionalFormatting sqref="I92:I94">
    <cfRule type="cellIs" dxfId="257" priority="257" operator="greaterThan">
      <formula>0.03</formula>
    </cfRule>
    <cfRule type="cellIs" dxfId="256" priority="258" stopIfTrue="1" operator="lessThan">
      <formula>-0.03</formula>
    </cfRule>
  </conditionalFormatting>
  <conditionalFormatting sqref="I92:I94">
    <cfRule type="cellIs" dxfId="255" priority="255" operator="greaterThan">
      <formula>0.03</formula>
    </cfRule>
    <cfRule type="cellIs" dxfId="254" priority="256" stopIfTrue="1" operator="lessThan">
      <formula>-0.03</formula>
    </cfRule>
  </conditionalFormatting>
  <conditionalFormatting sqref="I92:I94">
    <cfRule type="cellIs" dxfId="253" priority="253" operator="greaterThan">
      <formula>0.03</formula>
    </cfRule>
    <cfRule type="cellIs" dxfId="252" priority="254" stopIfTrue="1" operator="lessThan">
      <formula>-0.03</formula>
    </cfRule>
  </conditionalFormatting>
  <conditionalFormatting sqref="I92:I94">
    <cfRule type="cellIs" dxfId="251" priority="251" operator="greaterThan">
      <formula>0.03</formula>
    </cfRule>
    <cfRule type="cellIs" dxfId="250" priority="252" stopIfTrue="1" operator="lessThan">
      <formula>-0.03</formula>
    </cfRule>
  </conditionalFormatting>
  <conditionalFormatting sqref="I84:I86">
    <cfRule type="cellIs" dxfId="249" priority="249" operator="greaterThan">
      <formula>0.03</formula>
    </cfRule>
    <cfRule type="cellIs" dxfId="248" priority="250" stopIfTrue="1" operator="lessThan">
      <formula>-0.03</formula>
    </cfRule>
  </conditionalFormatting>
  <conditionalFormatting sqref="I84:I86">
    <cfRule type="cellIs" dxfId="247" priority="247" operator="greaterThan">
      <formula>0.03</formula>
    </cfRule>
    <cfRule type="cellIs" dxfId="246" priority="248" stopIfTrue="1" operator="lessThan">
      <formula>-0.03</formula>
    </cfRule>
  </conditionalFormatting>
  <conditionalFormatting sqref="I91">
    <cfRule type="cellIs" dxfId="245" priority="229" operator="greaterThan">
      <formula>0.03</formula>
    </cfRule>
    <cfRule type="cellIs" dxfId="244" priority="230" stopIfTrue="1" operator="lessThan">
      <formula>-0.03</formula>
    </cfRule>
  </conditionalFormatting>
  <conditionalFormatting sqref="I91">
    <cfRule type="cellIs" dxfId="243" priority="227" operator="greaterThan">
      <formula>0.03</formula>
    </cfRule>
    <cfRule type="cellIs" dxfId="242" priority="228" stopIfTrue="1" operator="lessThan">
      <formula>-0.03</formula>
    </cfRule>
  </conditionalFormatting>
  <conditionalFormatting sqref="I91">
    <cfRule type="cellIs" dxfId="241" priority="225" operator="greaterThan">
      <formula>0.03</formula>
    </cfRule>
    <cfRule type="cellIs" dxfId="240" priority="226" stopIfTrue="1" operator="lessThan">
      <formula>-0.03</formula>
    </cfRule>
  </conditionalFormatting>
  <conditionalFormatting sqref="I91">
    <cfRule type="cellIs" dxfId="239" priority="223" operator="greaterThan">
      <formula>0.03</formula>
    </cfRule>
    <cfRule type="cellIs" dxfId="238" priority="224" stopIfTrue="1" operator="lessThan">
      <formula>-0.03</formula>
    </cfRule>
  </conditionalFormatting>
  <conditionalFormatting sqref="I91">
    <cfRule type="cellIs" dxfId="237" priority="221" operator="greaterThan">
      <formula>0.03</formula>
    </cfRule>
    <cfRule type="cellIs" dxfId="236" priority="222" stopIfTrue="1" operator="lessThan">
      <formula>-0.03</formula>
    </cfRule>
  </conditionalFormatting>
  <conditionalFormatting sqref="I84:I86">
    <cfRule type="cellIs" dxfId="235" priority="245" operator="greaterThan">
      <formula>0.03</formula>
    </cfRule>
    <cfRule type="cellIs" dxfId="234" priority="246" stopIfTrue="1" operator="lessThan">
      <formula>-0.03</formula>
    </cfRule>
  </conditionalFormatting>
  <conditionalFormatting sqref="I84:I86">
    <cfRule type="cellIs" dxfId="233" priority="241" operator="greaterThan">
      <formula>0.03</formula>
    </cfRule>
    <cfRule type="cellIs" dxfId="232" priority="242" stopIfTrue="1" operator="lessThan">
      <formula>-0.03</formula>
    </cfRule>
  </conditionalFormatting>
  <conditionalFormatting sqref="I84:I86">
    <cfRule type="cellIs" dxfId="231" priority="243" operator="greaterThan">
      <formula>0.03</formula>
    </cfRule>
    <cfRule type="cellIs" dxfId="230" priority="244" stopIfTrue="1" operator="lessThan">
      <formula>-0.03</formula>
    </cfRule>
  </conditionalFormatting>
  <conditionalFormatting sqref="I83">
    <cfRule type="cellIs" dxfId="229" priority="239" operator="greaterThan">
      <formula>0.03</formula>
    </cfRule>
    <cfRule type="cellIs" dxfId="228" priority="240" stopIfTrue="1" operator="lessThan">
      <formula>-0.03</formula>
    </cfRule>
  </conditionalFormatting>
  <conditionalFormatting sqref="I83">
    <cfRule type="cellIs" dxfId="227" priority="237" operator="greaterThan">
      <formula>0.03</formula>
    </cfRule>
    <cfRule type="cellIs" dxfId="226" priority="238" stopIfTrue="1" operator="lessThan">
      <formula>-0.03</formula>
    </cfRule>
  </conditionalFormatting>
  <conditionalFormatting sqref="I83">
    <cfRule type="cellIs" dxfId="225" priority="235" operator="greaterThan">
      <formula>0.03</formula>
    </cfRule>
    <cfRule type="cellIs" dxfId="224" priority="236" stopIfTrue="1" operator="lessThan">
      <formula>-0.03</formula>
    </cfRule>
  </conditionalFormatting>
  <conditionalFormatting sqref="I83">
    <cfRule type="cellIs" dxfId="223" priority="233" operator="greaterThan">
      <formula>0.03</formula>
    </cfRule>
    <cfRule type="cellIs" dxfId="222" priority="234" stopIfTrue="1" operator="lessThan">
      <formula>-0.03</formula>
    </cfRule>
  </conditionalFormatting>
  <conditionalFormatting sqref="I83">
    <cfRule type="cellIs" dxfId="221" priority="231" operator="greaterThan">
      <formula>0.03</formula>
    </cfRule>
    <cfRule type="cellIs" dxfId="220" priority="232" stopIfTrue="1" operator="lessThan">
      <formula>-0.03</formula>
    </cfRule>
  </conditionalFormatting>
  <conditionalFormatting sqref="I80:I82">
    <cfRule type="cellIs" dxfId="219" priority="219" operator="greaterThan">
      <formula>0.03</formula>
    </cfRule>
    <cfRule type="cellIs" dxfId="218" priority="220" stopIfTrue="1" operator="lessThan">
      <formula>-0.03</formula>
    </cfRule>
  </conditionalFormatting>
  <conditionalFormatting sqref="I80:I82">
    <cfRule type="cellIs" dxfId="217" priority="217" operator="greaterThan">
      <formula>0.03</formula>
    </cfRule>
    <cfRule type="cellIs" dxfId="216" priority="218" stopIfTrue="1" operator="lessThan">
      <formula>-0.03</formula>
    </cfRule>
  </conditionalFormatting>
  <conditionalFormatting sqref="I80:I82">
    <cfRule type="cellIs" dxfId="215" priority="215" operator="greaterThan">
      <formula>0.03</formula>
    </cfRule>
    <cfRule type="cellIs" dxfId="214" priority="216" stopIfTrue="1" operator="lessThan">
      <formula>-0.03</formula>
    </cfRule>
  </conditionalFormatting>
  <conditionalFormatting sqref="I80:I82">
    <cfRule type="cellIs" dxfId="213" priority="213" operator="greaterThan">
      <formula>0.03</formula>
    </cfRule>
    <cfRule type="cellIs" dxfId="212" priority="214" stopIfTrue="1" operator="lessThan">
      <formula>-0.03</formula>
    </cfRule>
  </conditionalFormatting>
  <conditionalFormatting sqref="I80:I82">
    <cfRule type="cellIs" dxfId="211" priority="211" operator="greaterThan">
      <formula>0.03</formula>
    </cfRule>
    <cfRule type="cellIs" dxfId="210" priority="212" stopIfTrue="1" operator="lessThan">
      <formula>-0.03</formula>
    </cfRule>
  </conditionalFormatting>
  <conditionalFormatting sqref="I76:I78">
    <cfRule type="cellIs" dxfId="209" priority="209" operator="greaterThan">
      <formula>0.03</formula>
    </cfRule>
    <cfRule type="cellIs" dxfId="208" priority="210" stopIfTrue="1" operator="lessThan">
      <formula>-0.03</formula>
    </cfRule>
  </conditionalFormatting>
  <conditionalFormatting sqref="I76:I78">
    <cfRule type="cellIs" dxfId="207" priority="207" operator="greaterThan">
      <formula>0.03</formula>
    </cfRule>
    <cfRule type="cellIs" dxfId="206" priority="208" stopIfTrue="1" operator="lessThan">
      <formula>-0.03</formula>
    </cfRule>
  </conditionalFormatting>
  <conditionalFormatting sqref="I79">
    <cfRule type="cellIs" dxfId="205" priority="189" operator="greaterThan">
      <formula>0.03</formula>
    </cfRule>
    <cfRule type="cellIs" dxfId="204" priority="190" stopIfTrue="1" operator="lessThan">
      <formula>-0.03</formula>
    </cfRule>
  </conditionalFormatting>
  <conditionalFormatting sqref="I79">
    <cfRule type="cellIs" dxfId="203" priority="187" operator="greaterThan">
      <formula>0.03</formula>
    </cfRule>
    <cfRule type="cellIs" dxfId="202" priority="188" stopIfTrue="1" operator="lessThan">
      <formula>-0.03</formula>
    </cfRule>
  </conditionalFormatting>
  <conditionalFormatting sqref="I79">
    <cfRule type="cellIs" dxfId="201" priority="185" operator="greaterThan">
      <formula>0.03</formula>
    </cfRule>
    <cfRule type="cellIs" dxfId="200" priority="186" stopIfTrue="1" operator="lessThan">
      <formula>-0.03</formula>
    </cfRule>
  </conditionalFormatting>
  <conditionalFormatting sqref="I79">
    <cfRule type="cellIs" dxfId="199" priority="183" operator="greaterThan">
      <formula>0.03</formula>
    </cfRule>
    <cfRule type="cellIs" dxfId="198" priority="184" stopIfTrue="1" operator="lessThan">
      <formula>-0.03</formula>
    </cfRule>
  </conditionalFormatting>
  <conditionalFormatting sqref="I79">
    <cfRule type="cellIs" dxfId="197" priority="181" operator="greaterThan">
      <formula>0.03</formula>
    </cfRule>
    <cfRule type="cellIs" dxfId="196" priority="182" stopIfTrue="1" operator="lessThan">
      <formula>-0.03</formula>
    </cfRule>
  </conditionalFormatting>
  <conditionalFormatting sqref="I76:I78">
    <cfRule type="cellIs" dxfId="195" priority="205" operator="greaterThan">
      <formula>0.03</formula>
    </cfRule>
    <cfRule type="cellIs" dxfId="194" priority="206" stopIfTrue="1" operator="lessThan">
      <formula>-0.03</formula>
    </cfRule>
  </conditionalFormatting>
  <conditionalFormatting sqref="I76:I78">
    <cfRule type="cellIs" dxfId="193" priority="201" operator="greaterThan">
      <formula>0.03</formula>
    </cfRule>
    <cfRule type="cellIs" dxfId="192" priority="202" stopIfTrue="1" operator="lessThan">
      <formula>-0.03</formula>
    </cfRule>
  </conditionalFormatting>
  <conditionalFormatting sqref="I76:I78">
    <cfRule type="cellIs" dxfId="191" priority="203" operator="greaterThan">
      <formula>0.03</formula>
    </cfRule>
    <cfRule type="cellIs" dxfId="190" priority="204" stopIfTrue="1" operator="lessThan">
      <formula>-0.03</formula>
    </cfRule>
  </conditionalFormatting>
  <conditionalFormatting sqref="I75">
    <cfRule type="cellIs" dxfId="189" priority="199" operator="greaterThan">
      <formula>0.03</formula>
    </cfRule>
    <cfRule type="cellIs" dxfId="188" priority="200" stopIfTrue="1" operator="lessThan">
      <formula>-0.03</formula>
    </cfRule>
  </conditionalFormatting>
  <conditionalFormatting sqref="I75">
    <cfRule type="cellIs" dxfId="187" priority="197" operator="greaterThan">
      <formula>0.03</formula>
    </cfRule>
    <cfRule type="cellIs" dxfId="186" priority="198" stopIfTrue="1" operator="lessThan">
      <formula>-0.03</formula>
    </cfRule>
  </conditionalFormatting>
  <conditionalFormatting sqref="I75">
    <cfRule type="cellIs" dxfId="185" priority="195" operator="greaterThan">
      <formula>0.03</formula>
    </cfRule>
    <cfRule type="cellIs" dxfId="184" priority="196" stopIfTrue="1" operator="lessThan">
      <formula>-0.03</formula>
    </cfRule>
  </conditionalFormatting>
  <conditionalFormatting sqref="I75">
    <cfRule type="cellIs" dxfId="183" priority="193" operator="greaterThan">
      <formula>0.03</formula>
    </cfRule>
    <cfRule type="cellIs" dxfId="182" priority="194" stopIfTrue="1" operator="lessThan">
      <formula>-0.03</formula>
    </cfRule>
  </conditionalFormatting>
  <conditionalFormatting sqref="I75">
    <cfRule type="cellIs" dxfId="181" priority="191" operator="greaterThan">
      <formula>0.03</formula>
    </cfRule>
    <cfRule type="cellIs" dxfId="180" priority="192" stopIfTrue="1" operator="lessThan">
      <formula>-0.03</formula>
    </cfRule>
  </conditionalFormatting>
  <conditionalFormatting sqref="I88:I90">
    <cfRule type="cellIs" dxfId="179" priority="179" operator="greaterThan">
      <formula>0.03</formula>
    </cfRule>
    <cfRule type="cellIs" dxfId="178" priority="180" stopIfTrue="1" operator="lessThan">
      <formula>-0.03</formula>
    </cfRule>
  </conditionalFormatting>
  <conditionalFormatting sqref="I88:I90">
    <cfRule type="cellIs" dxfId="177" priority="177" operator="greaterThan">
      <formula>0.03</formula>
    </cfRule>
    <cfRule type="cellIs" dxfId="176" priority="178" stopIfTrue="1" operator="lessThan">
      <formula>-0.03</formula>
    </cfRule>
  </conditionalFormatting>
  <conditionalFormatting sqref="I88:I90">
    <cfRule type="cellIs" dxfId="175" priority="175" operator="greaterThan">
      <formula>0.03</formula>
    </cfRule>
    <cfRule type="cellIs" dxfId="174" priority="176" stopIfTrue="1" operator="lessThan">
      <formula>-0.03</formula>
    </cfRule>
  </conditionalFormatting>
  <conditionalFormatting sqref="I88:I90">
    <cfRule type="cellIs" dxfId="173" priority="173" operator="greaterThan">
      <formula>0.03</formula>
    </cfRule>
    <cfRule type="cellIs" dxfId="172" priority="174" stopIfTrue="1" operator="lessThan">
      <formula>-0.03</formula>
    </cfRule>
  </conditionalFormatting>
  <conditionalFormatting sqref="I88:I90">
    <cfRule type="cellIs" dxfId="171" priority="171" operator="greaterThan">
      <formula>0.03</formula>
    </cfRule>
    <cfRule type="cellIs" dxfId="170" priority="172" stopIfTrue="1" operator="lessThan">
      <formula>-0.03</formula>
    </cfRule>
  </conditionalFormatting>
  <conditionalFormatting sqref="I87">
    <cfRule type="cellIs" dxfId="169" priority="169" operator="greaterThan">
      <formula>0.03</formula>
    </cfRule>
    <cfRule type="cellIs" dxfId="168" priority="170" stopIfTrue="1" operator="lessThan">
      <formula>-0.03</formula>
    </cfRule>
  </conditionalFormatting>
  <conditionalFormatting sqref="I87">
    <cfRule type="cellIs" dxfId="167" priority="167" operator="greaterThan">
      <formula>0.03</formula>
    </cfRule>
    <cfRule type="cellIs" dxfId="166" priority="168" stopIfTrue="1" operator="lessThan">
      <formula>-0.03</formula>
    </cfRule>
  </conditionalFormatting>
  <conditionalFormatting sqref="I87">
    <cfRule type="cellIs" dxfId="165" priority="165" operator="greaterThan">
      <formula>0.03</formula>
    </cfRule>
    <cfRule type="cellIs" dxfId="164" priority="166" stopIfTrue="1" operator="lessThan">
      <formula>-0.03</formula>
    </cfRule>
  </conditionalFormatting>
  <conditionalFormatting sqref="I87">
    <cfRule type="cellIs" dxfId="163" priority="163" operator="greaterThan">
      <formula>0.03</formula>
    </cfRule>
    <cfRule type="cellIs" dxfId="162" priority="164" stopIfTrue="1" operator="lessThan">
      <formula>-0.03</formula>
    </cfRule>
  </conditionalFormatting>
  <conditionalFormatting sqref="I87">
    <cfRule type="cellIs" dxfId="161" priority="161" operator="greaterThan">
      <formula>0.03</formula>
    </cfRule>
    <cfRule type="cellIs" dxfId="160" priority="162" stopIfTrue="1" operator="lessThan">
      <formula>-0.03</formula>
    </cfRule>
  </conditionalFormatting>
  <conditionalFormatting sqref="I100:I102">
    <cfRule type="cellIs" dxfId="159" priority="159" operator="greaterThan">
      <formula>0.03</formula>
    </cfRule>
    <cfRule type="cellIs" dxfId="158" priority="160" stopIfTrue="1" operator="lessThan">
      <formula>-0.03</formula>
    </cfRule>
  </conditionalFormatting>
  <conditionalFormatting sqref="I100:I102">
    <cfRule type="cellIs" dxfId="157" priority="157" operator="greaterThan">
      <formula>0.03</formula>
    </cfRule>
    <cfRule type="cellIs" dxfId="156" priority="158" stopIfTrue="1" operator="lessThan">
      <formula>-0.03</formula>
    </cfRule>
  </conditionalFormatting>
  <conditionalFormatting sqref="I100:I102">
    <cfRule type="cellIs" dxfId="155" priority="155" operator="greaterThan">
      <formula>0.03</formula>
    </cfRule>
    <cfRule type="cellIs" dxfId="154" priority="156" stopIfTrue="1" operator="lessThan">
      <formula>-0.03</formula>
    </cfRule>
  </conditionalFormatting>
  <conditionalFormatting sqref="I100:I102">
    <cfRule type="cellIs" dxfId="153" priority="153" operator="greaterThan">
      <formula>0.03</formula>
    </cfRule>
    <cfRule type="cellIs" dxfId="152" priority="154" stopIfTrue="1" operator="lessThan">
      <formula>-0.03</formula>
    </cfRule>
  </conditionalFormatting>
  <conditionalFormatting sqref="I100:I102">
    <cfRule type="cellIs" dxfId="151" priority="151" operator="greaterThan">
      <formula>0.03</formula>
    </cfRule>
    <cfRule type="cellIs" dxfId="150" priority="152" stopIfTrue="1" operator="lessThan">
      <formula>-0.03</formula>
    </cfRule>
  </conditionalFormatting>
  <conditionalFormatting sqref="I96:I98">
    <cfRule type="cellIs" dxfId="149" priority="149" operator="greaterThan">
      <formula>0.03</formula>
    </cfRule>
    <cfRule type="cellIs" dxfId="148" priority="150" stopIfTrue="1" operator="lessThan">
      <formula>-0.03</formula>
    </cfRule>
  </conditionalFormatting>
  <conditionalFormatting sqref="I96:I98">
    <cfRule type="cellIs" dxfId="147" priority="147" operator="greaterThan">
      <formula>0.03</formula>
    </cfRule>
    <cfRule type="cellIs" dxfId="146" priority="148" stopIfTrue="1" operator="lessThan">
      <formula>-0.03</formula>
    </cfRule>
  </conditionalFormatting>
  <conditionalFormatting sqref="I99">
    <cfRule type="cellIs" dxfId="145" priority="129" operator="greaterThan">
      <formula>0.03</formula>
    </cfRule>
    <cfRule type="cellIs" dxfId="144" priority="130" stopIfTrue="1" operator="lessThan">
      <formula>-0.03</formula>
    </cfRule>
  </conditionalFormatting>
  <conditionalFormatting sqref="I99">
    <cfRule type="cellIs" dxfId="143" priority="127" operator="greaterThan">
      <formula>0.03</formula>
    </cfRule>
    <cfRule type="cellIs" dxfId="142" priority="128" stopIfTrue="1" operator="lessThan">
      <formula>-0.03</formula>
    </cfRule>
  </conditionalFormatting>
  <conditionalFormatting sqref="I99">
    <cfRule type="cellIs" dxfId="141" priority="125" operator="greaterThan">
      <formula>0.03</formula>
    </cfRule>
    <cfRule type="cellIs" dxfId="140" priority="126" stopIfTrue="1" operator="lessThan">
      <formula>-0.03</formula>
    </cfRule>
  </conditionalFormatting>
  <conditionalFormatting sqref="I99">
    <cfRule type="cellIs" dxfId="139" priority="123" operator="greaterThan">
      <formula>0.03</formula>
    </cfRule>
    <cfRule type="cellIs" dxfId="138" priority="124" stopIfTrue="1" operator="lessThan">
      <formula>-0.03</formula>
    </cfRule>
  </conditionalFormatting>
  <conditionalFormatting sqref="I99">
    <cfRule type="cellIs" dxfId="137" priority="121" operator="greaterThan">
      <formula>0.03</formula>
    </cfRule>
    <cfRule type="cellIs" dxfId="136" priority="122" stopIfTrue="1" operator="lessThan">
      <formula>-0.03</formula>
    </cfRule>
  </conditionalFormatting>
  <conditionalFormatting sqref="I96:I98">
    <cfRule type="cellIs" dxfId="135" priority="145" operator="greaterThan">
      <formula>0.03</formula>
    </cfRule>
    <cfRule type="cellIs" dxfId="134" priority="146" stopIfTrue="1" operator="lessThan">
      <formula>-0.03</formula>
    </cfRule>
  </conditionalFormatting>
  <conditionalFormatting sqref="I96:I98">
    <cfRule type="cellIs" dxfId="133" priority="141" operator="greaterThan">
      <formula>0.03</formula>
    </cfRule>
    <cfRule type="cellIs" dxfId="132" priority="142" stopIfTrue="1" operator="lessThan">
      <formula>-0.03</formula>
    </cfRule>
  </conditionalFormatting>
  <conditionalFormatting sqref="I96:I98">
    <cfRule type="cellIs" dxfId="131" priority="143" operator="greaterThan">
      <formula>0.03</formula>
    </cfRule>
    <cfRule type="cellIs" dxfId="130" priority="144" stopIfTrue="1" operator="lessThan">
      <formula>-0.03</formula>
    </cfRule>
  </conditionalFormatting>
  <conditionalFormatting sqref="I95">
    <cfRule type="cellIs" dxfId="129" priority="139" operator="greaterThan">
      <formula>0.03</formula>
    </cfRule>
    <cfRule type="cellIs" dxfId="128" priority="140" stopIfTrue="1" operator="lessThan">
      <formula>-0.03</formula>
    </cfRule>
  </conditionalFormatting>
  <conditionalFormatting sqref="I95">
    <cfRule type="cellIs" dxfId="127" priority="137" operator="greaterThan">
      <formula>0.03</formula>
    </cfRule>
    <cfRule type="cellIs" dxfId="126" priority="138" stopIfTrue="1" operator="lessThan">
      <formula>-0.03</formula>
    </cfRule>
  </conditionalFormatting>
  <conditionalFormatting sqref="I95">
    <cfRule type="cellIs" dxfId="125" priority="135" operator="greaterThan">
      <formula>0.03</formula>
    </cfRule>
    <cfRule type="cellIs" dxfId="124" priority="136" stopIfTrue="1" operator="lessThan">
      <formula>-0.03</formula>
    </cfRule>
  </conditionalFormatting>
  <conditionalFormatting sqref="I95">
    <cfRule type="cellIs" dxfId="123" priority="133" operator="greaterThan">
      <formula>0.03</formula>
    </cfRule>
    <cfRule type="cellIs" dxfId="122" priority="134" stopIfTrue="1" operator="lessThan">
      <formula>-0.03</formula>
    </cfRule>
  </conditionalFormatting>
  <conditionalFormatting sqref="I95">
    <cfRule type="cellIs" dxfId="121" priority="131" operator="greaterThan">
      <formula>0.03</formula>
    </cfRule>
    <cfRule type="cellIs" dxfId="120" priority="132" stopIfTrue="1" operator="lessThan">
      <formula>-0.03</formula>
    </cfRule>
  </conditionalFormatting>
  <conditionalFormatting sqref="I120:I122">
    <cfRule type="cellIs" dxfId="119" priority="119" operator="greaterThan">
      <formula>0.03</formula>
    </cfRule>
    <cfRule type="cellIs" dxfId="118" priority="120" stopIfTrue="1" operator="lessThan">
      <formula>-0.03</formula>
    </cfRule>
  </conditionalFormatting>
  <conditionalFormatting sqref="I120:I122">
    <cfRule type="cellIs" dxfId="117" priority="117" operator="greaterThan">
      <formula>0.03</formula>
    </cfRule>
    <cfRule type="cellIs" dxfId="116" priority="118" stopIfTrue="1" operator="lessThan">
      <formula>-0.03</formula>
    </cfRule>
  </conditionalFormatting>
  <conditionalFormatting sqref="I120:I122">
    <cfRule type="cellIs" dxfId="115" priority="115" operator="greaterThan">
      <formula>0.03</formula>
    </cfRule>
    <cfRule type="cellIs" dxfId="114" priority="116" stopIfTrue="1" operator="lessThan">
      <formula>-0.03</formula>
    </cfRule>
  </conditionalFormatting>
  <conditionalFormatting sqref="I120:I122">
    <cfRule type="cellIs" dxfId="113" priority="113" operator="greaterThan">
      <formula>0.03</formula>
    </cfRule>
    <cfRule type="cellIs" dxfId="112" priority="114" stopIfTrue="1" operator="lessThan">
      <formula>-0.03</formula>
    </cfRule>
  </conditionalFormatting>
  <conditionalFormatting sqref="I120:I122">
    <cfRule type="cellIs" dxfId="111" priority="111" operator="greaterThan">
      <formula>0.03</formula>
    </cfRule>
    <cfRule type="cellIs" dxfId="110" priority="112" stopIfTrue="1" operator="lessThan">
      <formula>-0.03</formula>
    </cfRule>
  </conditionalFormatting>
  <conditionalFormatting sqref="I112:I114">
    <cfRule type="cellIs" dxfId="109" priority="109" operator="greaterThan">
      <formula>0.03</formula>
    </cfRule>
    <cfRule type="cellIs" dxfId="108" priority="110" stopIfTrue="1" operator="lessThan">
      <formula>-0.03</formula>
    </cfRule>
  </conditionalFormatting>
  <conditionalFormatting sqref="I112:I114">
    <cfRule type="cellIs" dxfId="107" priority="107" operator="greaterThan">
      <formula>0.03</formula>
    </cfRule>
    <cfRule type="cellIs" dxfId="106" priority="108" stopIfTrue="1" operator="lessThan">
      <formula>-0.03</formula>
    </cfRule>
  </conditionalFormatting>
  <conditionalFormatting sqref="I119">
    <cfRule type="cellIs" dxfId="105" priority="89" operator="greaterThan">
      <formula>0.03</formula>
    </cfRule>
    <cfRule type="cellIs" dxfId="104" priority="90" stopIfTrue="1" operator="lessThan">
      <formula>-0.03</formula>
    </cfRule>
  </conditionalFormatting>
  <conditionalFormatting sqref="I119">
    <cfRule type="cellIs" dxfId="103" priority="87" operator="greaterThan">
      <formula>0.03</formula>
    </cfRule>
    <cfRule type="cellIs" dxfId="102" priority="88" stopIfTrue="1" operator="lessThan">
      <formula>-0.03</formula>
    </cfRule>
  </conditionalFormatting>
  <conditionalFormatting sqref="I119">
    <cfRule type="cellIs" dxfId="101" priority="85" operator="greaterThan">
      <formula>0.03</formula>
    </cfRule>
    <cfRule type="cellIs" dxfId="100" priority="86" stopIfTrue="1" operator="lessThan">
      <formula>-0.03</formula>
    </cfRule>
  </conditionalFormatting>
  <conditionalFormatting sqref="I119">
    <cfRule type="cellIs" dxfId="99" priority="83" operator="greaterThan">
      <formula>0.03</formula>
    </cfRule>
    <cfRule type="cellIs" dxfId="98" priority="84" stopIfTrue="1" operator="lessThan">
      <formula>-0.03</formula>
    </cfRule>
  </conditionalFormatting>
  <conditionalFormatting sqref="I119">
    <cfRule type="cellIs" dxfId="97" priority="81" operator="greaterThan">
      <formula>0.03</formula>
    </cfRule>
    <cfRule type="cellIs" dxfId="96" priority="82" stopIfTrue="1" operator="lessThan">
      <formula>-0.03</formula>
    </cfRule>
  </conditionalFormatting>
  <conditionalFormatting sqref="I112:I114">
    <cfRule type="cellIs" dxfId="95" priority="105" operator="greaterThan">
      <formula>0.03</formula>
    </cfRule>
    <cfRule type="cellIs" dxfId="94" priority="106" stopIfTrue="1" operator="lessThan">
      <formula>-0.03</formula>
    </cfRule>
  </conditionalFormatting>
  <conditionalFormatting sqref="I112:I114">
    <cfRule type="cellIs" dxfId="93" priority="101" operator="greaterThan">
      <formula>0.03</formula>
    </cfRule>
    <cfRule type="cellIs" dxfId="92" priority="102" stopIfTrue="1" operator="lessThan">
      <formula>-0.03</formula>
    </cfRule>
  </conditionalFormatting>
  <conditionalFormatting sqref="I112:I114">
    <cfRule type="cellIs" dxfId="91" priority="103" operator="greaterThan">
      <formula>0.03</formula>
    </cfRule>
    <cfRule type="cellIs" dxfId="90" priority="104" stopIfTrue="1" operator="lessThan">
      <formula>-0.03</formula>
    </cfRule>
  </conditionalFormatting>
  <conditionalFormatting sqref="I111">
    <cfRule type="cellIs" dxfId="89" priority="99" operator="greaterThan">
      <formula>0.03</formula>
    </cfRule>
    <cfRule type="cellIs" dxfId="88" priority="100" stopIfTrue="1" operator="lessThan">
      <formula>-0.03</formula>
    </cfRule>
  </conditionalFormatting>
  <conditionalFormatting sqref="I111">
    <cfRule type="cellIs" dxfId="87" priority="97" operator="greaterThan">
      <formula>0.03</formula>
    </cfRule>
    <cfRule type="cellIs" dxfId="86" priority="98" stopIfTrue="1" operator="lessThan">
      <formula>-0.03</formula>
    </cfRule>
  </conditionalFormatting>
  <conditionalFormatting sqref="I111">
    <cfRule type="cellIs" dxfId="85" priority="95" operator="greaterThan">
      <formula>0.03</formula>
    </cfRule>
    <cfRule type="cellIs" dxfId="84" priority="96" stopIfTrue="1" operator="lessThan">
      <formula>-0.03</formula>
    </cfRule>
  </conditionalFormatting>
  <conditionalFormatting sqref="I111">
    <cfRule type="cellIs" dxfId="83" priority="93" operator="greaterThan">
      <formula>0.03</formula>
    </cfRule>
    <cfRule type="cellIs" dxfId="82" priority="94" stopIfTrue="1" operator="lessThan">
      <formula>-0.03</formula>
    </cfRule>
  </conditionalFormatting>
  <conditionalFormatting sqref="I111">
    <cfRule type="cellIs" dxfId="81" priority="91" operator="greaterThan">
      <formula>0.03</formula>
    </cfRule>
    <cfRule type="cellIs" dxfId="80" priority="92" stopIfTrue="1" operator="lessThan">
      <formula>-0.03</formula>
    </cfRule>
  </conditionalFormatting>
  <conditionalFormatting sqref="I108:I110">
    <cfRule type="cellIs" dxfId="79" priority="79" operator="greaterThan">
      <formula>0.03</formula>
    </cfRule>
    <cfRule type="cellIs" dxfId="78" priority="80" stopIfTrue="1" operator="lessThan">
      <formula>-0.03</formula>
    </cfRule>
  </conditionalFormatting>
  <conditionalFormatting sqref="I108:I110">
    <cfRule type="cellIs" dxfId="77" priority="77" operator="greaterThan">
      <formula>0.03</formula>
    </cfRule>
    <cfRule type="cellIs" dxfId="76" priority="78" stopIfTrue="1" operator="lessThan">
      <formula>-0.03</formula>
    </cfRule>
  </conditionalFormatting>
  <conditionalFormatting sqref="I108:I110">
    <cfRule type="cellIs" dxfId="75" priority="75" operator="greaterThan">
      <formula>0.03</formula>
    </cfRule>
    <cfRule type="cellIs" dxfId="74" priority="76" stopIfTrue="1" operator="lessThan">
      <formula>-0.03</formula>
    </cfRule>
  </conditionalFormatting>
  <conditionalFormatting sqref="I108:I110">
    <cfRule type="cellIs" dxfId="73" priority="73" operator="greaterThan">
      <formula>0.03</formula>
    </cfRule>
    <cfRule type="cellIs" dxfId="72" priority="74" stopIfTrue="1" operator="lessThan">
      <formula>-0.03</formula>
    </cfRule>
  </conditionalFormatting>
  <conditionalFormatting sqref="I108:I110">
    <cfRule type="cellIs" dxfId="71" priority="71" operator="greaterThan">
      <formula>0.03</formula>
    </cfRule>
    <cfRule type="cellIs" dxfId="70" priority="72" stopIfTrue="1" operator="lessThan">
      <formula>-0.03</formula>
    </cfRule>
  </conditionalFormatting>
  <conditionalFormatting sqref="I104:I106">
    <cfRule type="cellIs" dxfId="69" priority="69" operator="greaterThan">
      <formula>0.03</formula>
    </cfRule>
    <cfRule type="cellIs" dxfId="68" priority="70" stopIfTrue="1" operator="lessThan">
      <formula>-0.03</formula>
    </cfRule>
  </conditionalFormatting>
  <conditionalFormatting sqref="I104:I106">
    <cfRule type="cellIs" dxfId="67" priority="67" operator="greaterThan">
      <formula>0.03</formula>
    </cfRule>
    <cfRule type="cellIs" dxfId="66" priority="68" stopIfTrue="1" operator="lessThan">
      <formula>-0.03</formula>
    </cfRule>
  </conditionalFormatting>
  <conditionalFormatting sqref="I107">
    <cfRule type="cellIs" dxfId="65" priority="49" operator="greaterThan">
      <formula>0.03</formula>
    </cfRule>
    <cfRule type="cellIs" dxfId="64" priority="50" stopIfTrue="1" operator="lessThan">
      <formula>-0.03</formula>
    </cfRule>
  </conditionalFormatting>
  <conditionalFormatting sqref="I107">
    <cfRule type="cellIs" dxfId="63" priority="47" operator="greaterThan">
      <formula>0.03</formula>
    </cfRule>
    <cfRule type="cellIs" dxfId="62" priority="48" stopIfTrue="1" operator="lessThan">
      <formula>-0.03</formula>
    </cfRule>
  </conditionalFormatting>
  <conditionalFormatting sqref="I107">
    <cfRule type="cellIs" dxfId="61" priority="45" operator="greaterThan">
      <formula>0.03</formula>
    </cfRule>
    <cfRule type="cellIs" dxfId="60" priority="46" stopIfTrue="1" operator="lessThan">
      <formula>-0.03</formula>
    </cfRule>
  </conditionalFormatting>
  <conditionalFormatting sqref="I107">
    <cfRule type="cellIs" dxfId="59" priority="43" operator="greaterThan">
      <formula>0.03</formula>
    </cfRule>
    <cfRule type="cellIs" dxfId="58" priority="44" stopIfTrue="1" operator="lessThan">
      <formula>-0.03</formula>
    </cfRule>
  </conditionalFormatting>
  <conditionalFormatting sqref="I107">
    <cfRule type="cellIs" dxfId="57" priority="41" operator="greaterThan">
      <formula>0.03</formula>
    </cfRule>
    <cfRule type="cellIs" dxfId="56" priority="42" stopIfTrue="1" operator="lessThan">
      <formula>-0.03</formula>
    </cfRule>
  </conditionalFormatting>
  <conditionalFormatting sqref="I104:I106">
    <cfRule type="cellIs" dxfId="55" priority="65" operator="greaterThan">
      <formula>0.03</formula>
    </cfRule>
    <cfRule type="cellIs" dxfId="54" priority="66" stopIfTrue="1" operator="lessThan">
      <formula>-0.03</formula>
    </cfRule>
  </conditionalFormatting>
  <conditionalFormatting sqref="I104:I106">
    <cfRule type="cellIs" dxfId="53" priority="61" operator="greaterThan">
      <formula>0.03</formula>
    </cfRule>
    <cfRule type="cellIs" dxfId="52" priority="62" stopIfTrue="1" operator="lessThan">
      <formula>-0.03</formula>
    </cfRule>
  </conditionalFormatting>
  <conditionalFormatting sqref="I104:I106">
    <cfRule type="cellIs" dxfId="51" priority="63" operator="greaterThan">
      <formula>0.03</formula>
    </cfRule>
    <cfRule type="cellIs" dxfId="50" priority="64" stopIfTrue="1" operator="lessThan">
      <formula>-0.03</formula>
    </cfRule>
  </conditionalFormatting>
  <conditionalFormatting sqref="I103">
    <cfRule type="cellIs" dxfId="49" priority="59" operator="greaterThan">
      <formula>0.03</formula>
    </cfRule>
    <cfRule type="cellIs" dxfId="48" priority="60" stopIfTrue="1" operator="lessThan">
      <formula>-0.03</formula>
    </cfRule>
  </conditionalFormatting>
  <conditionalFormatting sqref="I103">
    <cfRule type="cellIs" dxfId="47" priority="57" operator="greaterThan">
      <formula>0.03</formula>
    </cfRule>
    <cfRule type="cellIs" dxfId="46" priority="58" stopIfTrue="1" operator="lessThan">
      <formula>-0.03</formula>
    </cfRule>
  </conditionalFormatting>
  <conditionalFormatting sqref="I103">
    <cfRule type="cellIs" dxfId="45" priority="55" operator="greaterThan">
      <formula>0.03</formula>
    </cfRule>
    <cfRule type="cellIs" dxfId="44" priority="56" stopIfTrue="1" operator="lessThan">
      <formula>-0.03</formula>
    </cfRule>
  </conditionalFormatting>
  <conditionalFormatting sqref="I103">
    <cfRule type="cellIs" dxfId="43" priority="53" operator="greaterThan">
      <formula>0.03</formula>
    </cfRule>
    <cfRule type="cellIs" dxfId="42" priority="54" stopIfTrue="1" operator="lessThan">
      <formula>-0.03</formula>
    </cfRule>
  </conditionalFormatting>
  <conditionalFormatting sqref="I103">
    <cfRule type="cellIs" dxfId="41" priority="51" operator="greaterThan">
      <formula>0.03</formula>
    </cfRule>
    <cfRule type="cellIs" dxfId="40" priority="52" stopIfTrue="1" operator="lessThan">
      <formula>-0.03</formula>
    </cfRule>
  </conditionalFormatting>
  <conditionalFormatting sqref="I116:I118">
    <cfRule type="cellIs" dxfId="39" priority="39" operator="greaterThan">
      <formula>0.03</formula>
    </cfRule>
    <cfRule type="cellIs" dxfId="38" priority="40" stopIfTrue="1" operator="lessThan">
      <formula>-0.03</formula>
    </cfRule>
  </conditionalFormatting>
  <conditionalFormatting sqref="I116:I118">
    <cfRule type="cellIs" dxfId="37" priority="37" operator="greaterThan">
      <formula>0.03</formula>
    </cfRule>
    <cfRule type="cellIs" dxfId="36" priority="38" stopIfTrue="1" operator="lessThan">
      <formula>-0.03</formula>
    </cfRule>
  </conditionalFormatting>
  <conditionalFormatting sqref="I116:I118">
    <cfRule type="cellIs" dxfId="35" priority="35" operator="greaterThan">
      <formula>0.03</formula>
    </cfRule>
    <cfRule type="cellIs" dxfId="34" priority="36" stopIfTrue="1" operator="lessThan">
      <formula>-0.03</formula>
    </cfRule>
  </conditionalFormatting>
  <conditionalFormatting sqref="I116:I118">
    <cfRule type="cellIs" dxfId="33" priority="33" operator="greaterThan">
      <formula>0.03</formula>
    </cfRule>
    <cfRule type="cellIs" dxfId="32" priority="34" stopIfTrue="1" operator="lessThan">
      <formula>-0.03</formula>
    </cfRule>
  </conditionalFormatting>
  <conditionalFormatting sqref="I116:I118">
    <cfRule type="cellIs" dxfId="31" priority="31" operator="greaterThan">
      <formula>0.03</formula>
    </cfRule>
    <cfRule type="cellIs" dxfId="30" priority="32" stopIfTrue="1" operator="lessThan">
      <formula>-0.03</formula>
    </cfRule>
  </conditionalFormatting>
  <conditionalFormatting sqref="I115">
    <cfRule type="cellIs" dxfId="29" priority="29" operator="greaterThan">
      <formula>0.03</formula>
    </cfRule>
    <cfRule type="cellIs" dxfId="28" priority="30" stopIfTrue="1" operator="lessThan">
      <formula>-0.03</formula>
    </cfRule>
  </conditionalFormatting>
  <conditionalFormatting sqref="I115">
    <cfRule type="cellIs" dxfId="27" priority="27" operator="greaterThan">
      <formula>0.03</formula>
    </cfRule>
    <cfRule type="cellIs" dxfId="26" priority="28" stopIfTrue="1" operator="lessThan">
      <formula>-0.03</formula>
    </cfRule>
  </conditionalFormatting>
  <conditionalFormatting sqref="I115">
    <cfRule type="cellIs" dxfId="25" priority="25" operator="greaterThan">
      <formula>0.03</formula>
    </cfRule>
    <cfRule type="cellIs" dxfId="24" priority="26" stopIfTrue="1" operator="lessThan">
      <formula>-0.03</formula>
    </cfRule>
  </conditionalFormatting>
  <conditionalFormatting sqref="I115">
    <cfRule type="cellIs" dxfId="23" priority="23" operator="greaterThan">
      <formula>0.03</formula>
    </cfRule>
    <cfRule type="cellIs" dxfId="22" priority="24" stopIfTrue="1" operator="lessThan">
      <formula>-0.03</formula>
    </cfRule>
  </conditionalFormatting>
  <conditionalFormatting sqref="I115">
    <cfRule type="cellIs" dxfId="21" priority="21" operator="greaterThan">
      <formula>0.03</formula>
    </cfRule>
    <cfRule type="cellIs" dxfId="20" priority="22" stopIfTrue="1" operator="lessThan">
      <formula>-0.03</formula>
    </cfRule>
  </conditionalFormatting>
  <conditionalFormatting sqref="I123">
    <cfRule type="cellIs" dxfId="19" priority="15" operator="greaterThan">
      <formula>0.03</formula>
    </cfRule>
    <cfRule type="cellIs" dxfId="18" priority="16" stopIfTrue="1" operator="lessThan">
      <formula>-0.03</formula>
    </cfRule>
  </conditionalFormatting>
  <conditionalFormatting sqref="I123">
    <cfRule type="cellIs" dxfId="17" priority="13" operator="greaterThan">
      <formula>0.03</formula>
    </cfRule>
    <cfRule type="cellIs" dxfId="16" priority="14" stopIfTrue="1" operator="lessThan">
      <formula>-0.03</formula>
    </cfRule>
  </conditionalFormatting>
  <conditionalFormatting sqref="I123">
    <cfRule type="cellIs" dxfId="15" priority="11" operator="greaterThan">
      <formula>0.03</formula>
    </cfRule>
    <cfRule type="cellIs" dxfId="14" priority="12" stopIfTrue="1" operator="lessThan">
      <formula>-0.03</formula>
    </cfRule>
  </conditionalFormatting>
  <conditionalFormatting sqref="I123">
    <cfRule type="cellIs" dxfId="13" priority="19" operator="greaterThan">
      <formula>0.03</formula>
    </cfRule>
    <cfRule type="cellIs" dxfId="12" priority="20" stopIfTrue="1" operator="lessThan">
      <formula>-0.03</formula>
    </cfRule>
  </conditionalFormatting>
  <conditionalFormatting sqref="I123">
    <cfRule type="cellIs" dxfId="11" priority="17" operator="greaterThan">
      <formula>0.03</formula>
    </cfRule>
    <cfRule type="cellIs" dxfId="10" priority="18" stopIfTrue="1" operator="lessThan">
      <formula>-0.03</formula>
    </cfRule>
  </conditionalFormatting>
  <conditionalFormatting sqref="I125">
    <cfRule type="cellIs" dxfId="9" priority="9" operator="greaterThan">
      <formula>0.03</formula>
    </cfRule>
    <cfRule type="cellIs" dxfId="8" priority="10" stopIfTrue="1" operator="lessThan">
      <formula>-0.03</formula>
    </cfRule>
  </conditionalFormatting>
  <conditionalFormatting sqref="I125">
    <cfRule type="cellIs" dxfId="7" priority="7" operator="greaterThan">
      <formula>0.03</formula>
    </cfRule>
    <cfRule type="cellIs" dxfId="6" priority="8" stopIfTrue="1" operator="lessThan">
      <formula>-0.03</formula>
    </cfRule>
  </conditionalFormatting>
  <conditionalFormatting sqref="I125">
    <cfRule type="cellIs" dxfId="5" priority="5" operator="greaterThan">
      <formula>0.03</formula>
    </cfRule>
    <cfRule type="cellIs" dxfId="4" priority="6" stopIfTrue="1" operator="lessThan">
      <formula>-0.03</formula>
    </cfRule>
  </conditionalFormatting>
  <conditionalFormatting sqref="I125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I125">
    <cfRule type="cellIs" dxfId="1" priority="1" operator="greaterThan">
      <formula>0.03</formula>
    </cfRule>
    <cfRule type="cellIs" dxfId="0" priority="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HEVC_PB_P</vt:lpstr>
      <vt:lpstr>HEVC_PB_B</vt:lpstr>
      <vt:lpstr>HEVC_PB_adp</vt:lpstr>
      <vt:lpstr>HEVC_PB_opt</vt:lpstr>
      <vt:lpstr>UVG_PB_P</vt:lpstr>
      <vt:lpstr>UVG_PB_B</vt:lpstr>
      <vt:lpstr>UVG_PB_adp</vt:lpstr>
      <vt:lpstr>UVG_PB_opt</vt:lpstr>
      <vt:lpstr>MCL_PB_P</vt:lpstr>
      <vt:lpstr>MCL_PB_B</vt:lpstr>
      <vt:lpstr>MCL_PB_apt</vt:lpstr>
      <vt:lpstr>MCL_PB_opt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2023-12-20T07:18:52Z</dcterms:modified>
</cp:coreProperties>
</file>